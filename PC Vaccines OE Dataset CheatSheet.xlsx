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SANOTP\Desktop\Primary_Care_Intelligence_Hub\"/>
    </mc:Choice>
  </mc:AlternateContent>
  <xr:revisionPtr revIDLastSave="0" documentId="8_{52ED692C-6A09-43FC-BC72-AE507DDB463D}" xr6:coauthVersionLast="47" xr6:coauthVersionMax="47" xr10:uidLastSave="{00000000-0000-0000-0000-000000000000}"/>
  <bookViews>
    <workbookView xWindow="-110" yWindow="-110" windowWidth="19420" windowHeight="11500" activeTab="1" xr2:uid="{03A41944-E8E2-45CF-AECE-42CB1972CE64}"/>
  </bookViews>
  <sheets>
    <sheet name="Links for Data Understanding" sheetId="7" r:id="rId1"/>
    <sheet name="Pharma Supply Chain" sheetId="3" r:id="rId2"/>
    <sheet name="Brands" sheetId="4" r:id="rId3"/>
    <sheet name="Shipments" sheetId="1" r:id="rId4"/>
    <sheet name="Admins" sheetId="2" r:id="rId5"/>
    <sheet name="Dimension Tables" sheetId="5" r:id="rId6"/>
    <sheet name="Alignment" sheetId="8" r:id="rId7"/>
    <sheet name="Modifications Required" sheetId="6"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8" l="1"/>
  <c r="B7" i="8" s="1"/>
  <c r="B8" i="8" s="1"/>
</calcChain>
</file>

<file path=xl/sharedStrings.xml><?xml version="1.0" encoding="utf-8"?>
<sst xmlns="http://schemas.openxmlformats.org/spreadsheetml/2006/main" count="334" uniqueCount="260">
  <si>
    <t>Sl. No</t>
  </si>
  <si>
    <t>Link Description</t>
  </si>
  <si>
    <t>Link</t>
  </si>
  <si>
    <t>Real Word Data Assets Sharepoint location which consists of data dictionaries and training materials for all data assets that Pfizer has access to.</t>
  </si>
  <si>
    <t>Global Real World Data Enablement - Document Library - RWD Assets - All Documents</t>
  </si>
  <si>
    <t>Vaccelerator Home Page to understand all things BA_US_CORE_VACCINES</t>
  </si>
  <si>
    <t>Home</t>
  </si>
  <si>
    <t>Pharmaceutical Industry Supply Chain</t>
  </si>
  <si>
    <t xml:space="preserve">Shipment trade flow </t>
  </si>
  <si>
    <t>Quick Note -&gt;</t>
  </si>
  <si>
    <t>1. SAP DIR generally has shipments from pfizer to wholesalers</t>
  </si>
  <si>
    <t>2. Thus there is a separate feed fct cust end where we know about the end customer</t>
  </si>
  <si>
    <t>3. Hence for wholesaler to pharmacy there is a separate feed 867</t>
  </si>
  <si>
    <t>Brands we usually work on</t>
  </si>
  <si>
    <t>S.No</t>
  </si>
  <si>
    <t>Drug</t>
  </si>
  <si>
    <t>Type</t>
  </si>
  <si>
    <t>Market</t>
  </si>
  <si>
    <t>Competitors</t>
  </si>
  <si>
    <t>Nurtec</t>
  </si>
  <si>
    <t>Oral</t>
  </si>
  <si>
    <t>Migraine</t>
  </si>
  <si>
    <t>Ubrelvy,Qulipta</t>
  </si>
  <si>
    <t>Eliquis</t>
  </si>
  <si>
    <t>OAC</t>
  </si>
  <si>
    <t>Xarelto, Warfarin, Pradaxa,Savaysa, Jantoven, Dabigatran</t>
  </si>
  <si>
    <t>Paxlovid</t>
  </si>
  <si>
    <t>Covid</t>
  </si>
  <si>
    <t>Molnupiravir</t>
  </si>
  <si>
    <t>Comirnaty</t>
  </si>
  <si>
    <t>Vaccines</t>
  </si>
  <si>
    <t>Spikevax, Novavax, Mnexpike</t>
  </si>
  <si>
    <t>Abrysvo</t>
  </si>
  <si>
    <t>RSV</t>
  </si>
  <si>
    <t>Arexvy, Mresvia</t>
  </si>
  <si>
    <t>Prevnar</t>
  </si>
  <si>
    <t>PCV</t>
  </si>
  <si>
    <t>Pneumovax, Vaxneuvance,Capvaxive</t>
  </si>
  <si>
    <t>Shipments - DDD/867/852/844</t>
  </si>
  <si>
    <t>Dataset</t>
  </si>
  <si>
    <t>Table</t>
  </si>
  <si>
    <t>Brands</t>
  </si>
  <si>
    <t xml:space="preserve">From statement </t>
  </si>
  <si>
    <t>Competitor Info</t>
  </si>
  <si>
    <t>Comments</t>
  </si>
  <si>
    <t>Type of Business questions this dataset can be used for</t>
  </si>
  <si>
    <t>Data Caveats</t>
  </si>
  <si>
    <t>Reference Dataset</t>
  </si>
  <si>
    <t>Recent Analysis</t>
  </si>
  <si>
    <t>DDD</t>
  </si>
  <si>
    <t>FCT_DDD_WK_VX</t>
  </si>
  <si>
    <t>PFE Vaccines</t>
  </si>
  <si>
    <t>"COMM_US_BA_PROD_DB"."BA_US_CORE_VACCINES"."FCT_DDD_WK_VX"</t>
  </si>
  <si>
    <t>Yes</t>
  </si>
  <si>
    <t>All account level information already present.</t>
  </si>
  <si>
    <t>1. Retail/Non-Retail ratio
2. Chain level doses for non-retail setting.
3. Weekly/Monthly level shipments for brands.
4. MA OA split for Abrysvo.
5. Adult peds split for Prevnar.</t>
  </si>
  <si>
    <t>1. In DDD we can’t perform any Retail chain level analytics, as data is captured at a Zip level.
2. Kaiser shipments are under-represented in DDD, hence adjustments are made using 867 shipments.</t>
  </si>
  <si>
    <t>https://dss-amer-design.pfizer.com/projects/USVACCINESADHOCANALYTICSPARTB/recipes/compute_SQL_DDD_COMIRNATY_WEEK_DOSES_SF/</t>
  </si>
  <si>
    <t>https://pfizer.sharepoint.com/:x:/r/sites/PrimaryCareAnalytics2/Shared%20Documents/General/20251126%20DDD,%20867,%20LAAD%20Px%20Abrysvo%20MA%20split.xlsx?d=w4eb256dcc5324b9bafa342eae7214786&amp;csf=1&amp;web=1&amp;e=dtiqei</t>
  </si>
  <si>
    <t>DDD_FCT_SLS_M</t>
  </si>
  <si>
    <t>PFE Vaccines including orals such as Nurtec, Paxlovid, Eliquis</t>
  </si>
  <si>
    <t>"COMM_US_PUB_PROD_DB"."BI_US_RNA"."DDD_FCT_SLS_M"</t>
  </si>
  <si>
    <t>PFZ_CUST_ID present is  actually OutletID, we need to map it using 'DIM_ACCT_IDN_HCOS_DDD' table to get HCOS_PFZ_CUST_ID</t>
  </si>
  <si>
    <t>1.Weekly/Monthly level shipments for brands.</t>
  </si>
  <si>
    <t>1.Only Non-Retail coverage of Nurtec, Pax and Eliquis</t>
  </si>
  <si>
    <t>https://dss-amer-design.pfizer.com/projects/USIMVACCINESSDL/recipes/compute_SQL_DDD_IM_STACK_SF/</t>
  </si>
  <si>
    <t>https://pfizer.sharepoint.com/:x:/r/sites/PrimaryCareAnalytics2/Shared%20Documents/General/20251104%20IDN%20in%20house%20pharmacy%20investigation.xlsx?d=w339730b35dec445fbe826ee2beea8896&amp;csf=1&amp;web=1&amp;e=0hT6er</t>
  </si>
  <si>
    <t>FCT_IND_867</t>
  </si>
  <si>
    <t>"COMM_US_BA_PROD_DB"."BA_US_CORE_VACCINES"."FCT_IND_867"</t>
  </si>
  <si>
    <t>No</t>
  </si>
  <si>
    <t>1. Chain/Account level shipments.
2. Retail/Non-Retail ratio.</t>
  </si>
  <si>
    <t>https://dss-amer-design.pfizer.com/projects/USPRIMARYCAREADHOCANALYTICSPARTC/recipes/compute_SQL_867_VACCINES_SF/</t>
  </si>
  <si>
    <t>https://pfizer.sharepoint.com/:x:/r/sites/PrimaryCareAnalytics2/Shared%20Documents/20251104%20US%20Pharmacy%20Landscape%20Analysis%20.xlsx?d=w0594de83c7aa4a8eb593499016c57fc0&amp;csf=1&amp;web=1&amp;e=qGprHZ</t>
  </si>
  <si>
    <t>EDI_867_TRD_INSGT_EXTRT_VW</t>
  </si>
  <si>
    <t>PFE Vaccines including orals such as Nurtec, Paxlovid</t>
  </si>
  <si>
    <t>"MARM_TRDINSIGHTP_DB"."INSIGHT_RPT"."EDI_867_TRD_INSGT_EXTRT_VW"</t>
  </si>
  <si>
    <t>1. To get account information, we need to map EDI_867_CUST_KEY present in 867 , using 'DIM_CUST_EXTL_ID' and 'REL_CUST_LINKGS' and then 'HCOS_DIM_BUS'.
2. To get retail/non-retail we use 'BUSS CHANNEL DESC', wherever its 'Retailers','mail order' or 'Specilaity pahrmacy' we consider it as Retail.</t>
  </si>
  <si>
    <t>1.For Retail part,  ~50% doses we don’t get a mapping for a PFZ_CUST_ID, the data is blinded.</t>
  </si>
  <si>
    <t>https://dss-amer-design.pfizer.com/projects/USPRIMARYCAREADHOCANALYTICSPARTC/recipes/compute_SQL_867_ORALS_SF/</t>
  </si>
  <si>
    <t>https://pfizer.sharepoint.com/:x:/r/sites/PrimaryCareAnalytics2/Shared%20Documents/General/20251111%20IDN%20in%20house%20pharmacy%20investigation%20v3.xlsx?d=w54621bc6702b43e88e77647ce2bea983&amp;csf=1&amp;web=1&amp;e=T67DaQ</t>
  </si>
  <si>
    <t>EDI_852_TRD_INSGT_FCT</t>
  </si>
  <si>
    <t>"COMM_US_PUB_PROD_DB"."BI_US_RNA"."EDI_852_TRD_INSGT_FCT"</t>
  </si>
  <si>
    <t xml:space="preserve">1. sum("OH_QTY") gives us WEEKLY_INVENTORY
2. sum("OMIT_QTY"+"WD_QTY") gives us  "TOTAL_WITHDRAWL_QTY".
3. SUM("PFE_SHIP_QTY") gives us  "SHIPPED_QUANTITY" </t>
  </si>
  <si>
    <t>1. Inventory and withdrawal rates over time.
2. Stocking analysis</t>
  </si>
  <si>
    <t>https://dss-amer-design.pfizer.com/projects/USVACCINESADHOCANALYTICSPARTB/recipes/compute_SQL_852_ABRYSVO_WEEK_DOSES_SF/</t>
  </si>
  <si>
    <t>Refer daily sales report</t>
  </si>
  <si>
    <t>FCT_IND_844</t>
  </si>
  <si>
    <t>"COMM_US_BA_PROD_DB"."BA_US_CORE_VACCINES"."FCT_IND_844"</t>
  </si>
  <si>
    <t>https://dss-amer-design.pfizer.com/projects/USVACCINESADHOCANALYTICSPARTB/recipes/compute_SQL_844_COMIRNATY_CHAIN_DATE_DOSES_SF/</t>
  </si>
  <si>
    <t>FCT_CUST_END</t>
  </si>
  <si>
    <t>"COMM_US_BA_PROD_DB"."BA_US_CORE_VACCINES"."FCT_CUST_END"</t>
  </si>
  <si>
    <t>Filter for SRC_TYP_CD ='844' to get 844 shipments</t>
  </si>
  <si>
    <t>1. MA OA split for Abrysvo.</t>
  </si>
  <si>
    <t>https://dss-amer-design.pfizer.com/projects/USVACCINESADHOCANALYTICSPARTB/recipes/compute_SQL_FCT_CUST_END_PREVNAR_SF/</t>
  </si>
  <si>
    <t>Admins - LAAD / Optum/ HV/ Forsyth / NPA / CDS</t>
  </si>
  <si>
    <t>Data Dictionary</t>
  </si>
  <si>
    <t>ELAAD</t>
  </si>
  <si>
    <t>1.ELAAD_FACT_MX
2.ELAAD_FACT_RX</t>
  </si>
  <si>
    <t>All brands</t>
  </si>
  <si>
    <t>"COMM_US_PUB_PROD_DB"."BI_US_DMART_ELAAD"."ELAAD_FACT_RX"</t>
  </si>
  <si>
    <t>1. Use 'ELAAD_DIM_PROVIDER' to get PFZ_CUST_ID
2. Use 'ELAAD_DIM_PLAN' to get PFZ_PLAN_ID.
3. We use only "CLAIM_STATUS_CODE" IN ('F','S') for any analysis.</t>
  </si>
  <si>
    <t>1. Weekly/monthly admins.
2. Vaccination rates.
3. HCP/speciality/payer level analysis.
4. Fill rates, Rx per patient, Pills per Rx.
5. Market share.
6. Plan level analysis.</t>
  </si>
  <si>
    <t>1. Its has low diagnosis capture
2. To roll the data upto account level, we need to use HCP affiliations.</t>
  </si>
  <si>
    <t>https://pfizer.sharepoint.com/:x:/r/sites/PrimaryCareAnalytics2/Shared%20Documents/General/Data%20Dictionaries/ELAAD%20-%20Data%20Dictionary.xlsx?d=wbce3dfc37492471ba8adabdb1d42a796&amp;csf=1&amp;web=1&amp;e=bzBLUT</t>
  </si>
  <si>
    <t>https://dss-amer-design.pfizer.com/projects/USIMVACCINESSDL/recipes/compute_SQL_ELAAD_PREGNANT_WOMEN_SF/</t>
  </si>
  <si>
    <t>Weekly LAAD</t>
  </si>
  <si>
    <t>1.LAAD_FCT_PX_W 
2.LAAD_FCT_RX_W 
3.LAAD_FCT_DX_W</t>
  </si>
  <si>
    <t>PCV,Covid, Flu, Eliquis</t>
  </si>
  <si>
    <t>"COMM_US_PUB_PROD_DB"."BI_US_RNA"."LAAD_FCT_RX_W"</t>
  </si>
  <si>
    <t>1. It has RSV info, but pfizer has stopped buying for RSV in 2025 season.</t>
  </si>
  <si>
    <t>1. Weekly/monthly admins.
2. Vaccination rates.
3. HCP/speciality/payer level analysis.
4. Fill rates, Rx per patient, Pills per Rx.
5. Market share.
6.Plan level analysis.</t>
  </si>
  <si>
    <t>Similar columns as ELAAD</t>
  </si>
  <si>
    <t>https://dss-amer-design.pfizer.com/projects/USIMVACCINESSDL/recipes/compute_SQL_LAAD_W_RX_PX_UNION_COVID_MARKET_SF/</t>
  </si>
  <si>
    <t>https://pfizer.sharepoint.com/:x:/r/sites/PrimaryCareAnalytics2/Shared%20Documents/General/20250429%20RSV%20ACIP%20Change%20Impact.xlsx?d=wfa7f0bca40a74a2da708515d52b52d9c&amp;csf=1&amp;web=1&amp;e=OBMif2</t>
  </si>
  <si>
    <t>Migriane LAAD</t>
  </si>
  <si>
    <t>1.LAAD_MIG_FCT_MX_W 
2.LAAD_MIG_FCT_RX_W</t>
  </si>
  <si>
    <t>Mirgaine brands</t>
  </si>
  <si>
    <t>"COMM_US_PUB_PROD_DB"."BI_US_RNA"."LAAD_MIG_FCT_RX_W"</t>
  </si>
  <si>
    <t>1. Best for analysis which requires most recent data.</t>
  </si>
  <si>
    <t>1. Weekly/monthly admins.
2. HCP/speciality/payer level analysis.
3. Fill rates, Rx per patient, Pills per Rx.
4. Market share.
5.Plan level analysis.</t>
  </si>
  <si>
    <t>https://dss-amer-design.pfizer.com/projects/USMIGRAINEANALYTICS/recipes/compute_SQL_LAAD_ALL_MIGRAINE_TREATMENT_CLAIM_BY_DRUG_CLASS_SF/</t>
  </si>
  <si>
    <t>https://pfizer.sharepoint.com/:x:/r/sites/PrimaryCareAnalytics2/Shared%20Documents/2025119%20Oral%20CGRP%20Growth%20Investigation%20V1%20.xlsx?d=w3600b63a164048048e59a96c38a78236&amp;csf=1&amp;web=1&amp;e=ZgpsLG</t>
  </si>
  <si>
    <t>Optum</t>
  </si>
  <si>
    <t>1.RX 
2. MEDICAL_PROC 
3. MEDICAL_DIAG 
4.CONFINEMENT 
5.MEDICAL</t>
  </si>
  <si>
    <t>"RWD_PROD"."OPTUMDOD_MTHLY"."RX"</t>
  </si>
  <si>
    <t>1. 'MEMBER_ENROLLMENT' to get patients info scuh as YOB and gender. 
2. Has better diagnosis capture as compared to LAAD.
3. Better for a Patient's journey assessment</t>
  </si>
  <si>
    <t>1. UMC - Risk/No- risk split of patients.
2. Vaccination rates.
3. Historical analysis, as LAAD only has data post 2019.
4. Market share.</t>
  </si>
  <si>
    <t>1. Low data coverage as it has only one payer info i.e. UHG
2. No HCP info.
3. Cannot perform payer level analysis as it only has two types - Com and Mcr 
4.All claims are Paid claims.</t>
  </si>
  <si>
    <t>https://pfizer.sharepoint.com/:x:/r/sites/PrimaryCareAnalytics2/Shared%20Documents/General/Data%20Dictionaries/OPTUM%20CDM%20Data%20Dictionary%207.1%20DOD.xlsx?d=wff2ab05100274f0bbec58a918e826c06&amp;csf=1&amp;web=1&amp;e=GYctNL</t>
  </si>
  <si>
    <t>https://dss-amer-design.pfizer.com/projects/USIMVACCINESSDL/recipes/compute_SQL_OPTUM_RSV_RX_PX_UNION_SF/</t>
  </si>
  <si>
    <t>https://pfizer.sharepoint.com/:x:/r/sites/PrimaryCareAnalytics2/Shared%20Documents/General/Nurtec%20(CGRP%27s,%20Migraine%20Market)/20251028%20Migraine%20Drop%20Off%20V2.xlsx?d=wf81f2dd85a0c4157a9cca279e1ccce6e&amp;csf=1&amp;web=1&amp;e=BfBCVQ</t>
  </si>
  <si>
    <t>HV</t>
  </si>
  <si>
    <t>1. PHARMACY_CLAIMS
2.EVENTS</t>
  </si>
  <si>
    <t>"RWD_PROD"."HV_RX_PHARMACY"."PHARMACY_CLAIMS"</t>
  </si>
  <si>
    <t>1. Only retail admins
2. Events table only has admins for C19 market for CVS and Walgreesn only.
3. To consider only PD claims use LOGICAL_DELETE_REASON IS NULL.
4. To get patients YOB and age use  'CONSOLIDATED_ENROLLMENT' table</t>
  </si>
  <si>
    <t>1. Chain level admins.
2. Market share.</t>
  </si>
  <si>
    <t xml:space="preserve">1. Chain level coverage is not accurate eg. Albertsons is the highest contributer for any brand as per HV, but CVS and Walgreens are higher as per RWD.
2. Payer information is inaccurate as a significant part goes under Unknown.
</t>
  </si>
  <si>
    <t>https://pfizer.sharepoint.com/:x:/r/sites/PrimaryCareAnalytics2/Shared%20Documents/General/Data%20Dictionaries/New%20HealthVerity%20Data%20Dictionary%20.xlsx?d=wee6ef60e0dc84269a19ca197dd925486&amp;csf=1&amp;web=1&amp;e=SPhy6x</t>
  </si>
  <si>
    <t>https://dss-amer-design.pfizer.com/projects/USIMVACCINESSDL/recipes/compute_SQL_HV_OAC_MARKET_SF/</t>
  </si>
  <si>
    <t>https://pfizer.sharepoint.com/:x:/r/sites/PrimaryCareAnalytics2/Shared%20Documents/20251119%20US%20Pharmacy%20Landscape%20Analysis%20.xlsx?d=wd8c9477e82a6461d844cfdf9444d4fc8&amp;csf=1&amp;web=1&amp;e=QhdQZh</t>
  </si>
  <si>
    <t>Forsyth</t>
  </si>
  <si>
    <t xml:space="preserve">1.FH_COM_104_MIGRAINE_RX_PAID
2. FH_COM_104_MIGRAINE_RX_REVERSAL
3. FH_COM_104_MIGRAINE_RX_REJECT 
4.FH_COM_104_MIGRAINE_MEDICAL_CLAIMS 
5.FH_COM_104_MIGRAINE_PRESCRIBING_ATTEMPT
6. FH_COM_104_MIGRAINE_PHARMACY
7. FH_COM_104_MIGRAINE_PATIENT_DIAGNOSIS
</t>
  </si>
  <si>
    <t xml:space="preserve">"RWD_PROD"."FORSYTH_MIGRAINE_ONC"."FH_COM_104_MIGRAINE_RX_PAID" </t>
  </si>
  <si>
    <t>1. It has better coverage for Diagnosis 
2. Prior Authorisation - Gives detailed information of each PA attempt.</t>
  </si>
  <si>
    <t>https://pfizer.sharepoint.com/:b:/r/sites/EnterpriseDataSolutions1/Document%20Library/Supportive%20Docs/Real%20World%20Data/RWD%20Assets/FORSYTH%20HEALTH/FORSYTH_MIGRAINE_ONC/Data%20Dictionaries/FH%20Data%20Dictionary%20V3.0.pdf?csf=1&amp;web=1&amp;e=j4hOrw</t>
  </si>
  <si>
    <t>https://dss-amer-design.pfizer.com/projects/USMIGRAINEIISRPTETL/recipes/compute_SQL_MIGRAINE_ALL_FH_TREATMENT_CLAIMS_SF/</t>
  </si>
  <si>
    <t>NPA</t>
  </si>
  <si>
    <t>Flatfile</t>
  </si>
  <si>
    <t>We receive this file on mail</t>
  </si>
  <si>
    <t>1. Has weekly TRx and NBRx</t>
  </si>
  <si>
    <t>1,Weekly admins
2. Market share</t>
  </si>
  <si>
    <t>1. Only has retail information.</t>
  </si>
  <si>
    <t>-</t>
  </si>
  <si>
    <t>Rapid NPA</t>
  </si>
  <si>
    <t>PCV, RSV,Covid</t>
  </si>
  <si>
    <t>1. Has weekly TRx.</t>
  </si>
  <si>
    <t>https://pfizer.sharepoint.com/:x:/r/sites/PrimaryCareAnalytics2/Shared%20Documents/General/Tom%27s%20Covid%20Vx%20Deliverable/20251128_%20COVID%20HV%20Retailer,%20State%20Vx%20rates%20and%20Moderna%20uptake%20.xlsx?d=w96c0b197bc5c477b97d5816fd42ae7ac&amp;csf=1&amp;web=1&amp;e=pKKUZ9</t>
  </si>
  <si>
    <t>Firstlook</t>
  </si>
  <si>
    <t>Oral CGRP(Nurtec, Ubrelvy, Qulipta) and Zavzpret</t>
  </si>
  <si>
    <t>1. It already has monthyl and quartely  TRx and NBRx rolled up data.</t>
  </si>
  <si>
    <t>1,Weekly/Monthly/Quarterly admins
2. Market share</t>
  </si>
  <si>
    <t>https://pfizer.sharepoint.com/:x:/r/sites/PrimaryCareAnalytics2/Shared%20Documents/General/Nurtec%20(CGRP%27s,%20Migraine%20Market)/20251028%20PAP%20Changes%20on%20TRx.xlsx?d=w32a98cd46224418f85bdba13452c2fc2&amp;csf=1&amp;web=1&amp;e=6NSpCu</t>
  </si>
  <si>
    <t>CDS</t>
  </si>
  <si>
    <t>1.MDCR_PARTB_PROD_ORG_IND_MTH
2. MDCR_PARTB_PROD_CHAIN
3.MDCR_PARTD_PROD_CHAIN_ST</t>
  </si>
  <si>
    <t>Coivd, PCV and Flu vaccines</t>
  </si>
  <si>
    <t xml:space="preserve">"COMM_US_BA_PROD_DB"."BA_US_CORE_VACCINES"."MDCR_PARTB_PROD_CHAIN" </t>
  </si>
  <si>
    <t>1. EVENT_CNT is claims
2. BENE_CNT IS patients</t>
  </si>
  <si>
    <t>1. Account/Chain level admins
2. Referral information
3. Retail/Non-Retail ratio</t>
  </si>
  <si>
    <t>1. As we go into more granular dataset in CDS, the coverage of data becomes low, as the accounts with no info for that granulairty gets removed.
2. It is medicare only data (60+ age)</t>
  </si>
  <si>
    <t>https://pfizer.sharepoint.com/:x:/r/sites/PrimaryCareAnalytics2/Shared%20Documents/General/ZS%20Internal%20Onboarding/Useful%20Materials/Copy%20of%20Vx%20Business%20Data%20Assets%20Data%20Dictionary.xlsx?d=w2c26ec00100e40e9917fa063a29e40fe&amp;csf=1&amp;web=1&amp;e=CpxKPl-</t>
  </si>
  <si>
    <t>https://pfizer.sharepoint.com/:x:/r/sites/PrimaryCareAnalytics2/Shared%20Documents/20251114%20CDS%20and%20HV%20Erx%20comparision.xlsx?d=w033e0f602b444dd8a078f710c6765c98&amp;csf=1&amp;web=1&amp;e=W9c7Gr</t>
  </si>
  <si>
    <t>Dimension Tables</t>
  </si>
  <si>
    <t>S. No.</t>
  </si>
  <si>
    <t>Information</t>
  </si>
  <si>
    <t>Miscellaneous</t>
  </si>
  <si>
    <t>DIM_PROD</t>
  </si>
  <si>
    <t>Product names using NDC</t>
  </si>
  <si>
    <t>"COMM_US_PUB_PROD_DB"."BI_US_RNA"."DIM_PROD"</t>
  </si>
  <si>
    <t>DIM_TIME</t>
  </si>
  <si>
    <t>Time related granularities</t>
  </si>
  <si>
    <t xml:space="preserve">"COMM_US_PUB_PROD_DB"."BI_US_RNA"."DIM_TIME" </t>
  </si>
  <si>
    <t>HCP/Account</t>
  </si>
  <si>
    <t>BAC_DIM_CUST_VX</t>
  </si>
  <si>
    <t>Account information</t>
  </si>
  <si>
    <t>"COMM_US_BA_PROD_DB"."BA_US_CORE_VACCINES"."BAC_DIM_CUST_VX"</t>
  </si>
  <si>
    <t>A processed dataset which has all information for an account.</t>
  </si>
  <si>
    <t>DIM_CUST</t>
  </si>
  <si>
    <t>Account/HCP information</t>
  </si>
  <si>
    <t>"COMM_US_PUB_PROD_DB"."BI_US_RNA"."DIM_CUST"</t>
  </si>
  <si>
    <t>Helps to segregate between an account and a HCP using column CUST_TYPE_CD</t>
  </si>
  <si>
    <t>DIM_CUST_ADDR_BEST_CALL</t>
  </si>
  <si>
    <t>HCP state, Zip</t>
  </si>
  <si>
    <t>"COMM_US_PUB_PROD_DB"."BI_US_RNA"."DIM_CUST_ADDR_BEST_CALL"</t>
  </si>
  <si>
    <t>DIM_CUST_EXTL_ID</t>
  </si>
  <si>
    <t>NPI to CUST_ID mapping</t>
  </si>
  <si>
    <t>"COMM_US_PUB_PROD_DB"."BI_US_RNA"."DIM_CUST_EXTL_ID"</t>
  </si>
  <si>
    <t>Usually used in HV analysis as we get Pharmacy_NPI there.</t>
  </si>
  <si>
    <t>HCP Affiliation</t>
  </si>
  <si>
    <t>HCP affiliated account</t>
  </si>
  <si>
    <t xml:space="preserve">"COMM_US_BA_PROD_DB"."BA_US_CORE_VACCINES"."BAC_HCP_PRIM_AFFLN" </t>
  </si>
  <si>
    <t>Helps to identify with which account a particular HCP affiliated</t>
  </si>
  <si>
    <t>HCOS_DIM_BUS</t>
  </si>
  <si>
    <t>"COMM_US_PUB_PROD_DB"."BI_US_RNA"."HCOS_DIM_BUS"</t>
  </si>
  <si>
    <t>Helps to get Cot classification, Cot speciality</t>
  </si>
  <si>
    <t>DIM_ACCT_IDN_HCOS_DDD</t>
  </si>
  <si>
    <t>To get PFZ_CUST_ID for DDD outlet ID</t>
  </si>
  <si>
    <t>"COMM_US_PUB_PROD_DB"."BI_US_RNA"."DIM_ACCT_IDN_HCOS_DDD"</t>
  </si>
  <si>
    <t>ELAAD_DIM_PATIENT_DEMOGRAPHIC</t>
  </si>
  <si>
    <t>Patient's YOB and gender</t>
  </si>
  <si>
    <t>"COMM_US_PUB_PROD_DB"."BI_US_DMART_ELAAD"."ELAAD_DIM_PATIENT_DEMOGRAPHIC"</t>
  </si>
  <si>
    <t>ELAAD_DIM_PRODUCT</t>
  </si>
  <si>
    <t>"COMM_US_PUB_PROD_DB"."BI_US_DMART_ELAAD"."ELAAD_DIM_PRODUCT"</t>
  </si>
  <si>
    <t>ELAAD_DIM_PLAN</t>
  </si>
  <si>
    <t>To get PFZ_PLAN_ID</t>
  </si>
  <si>
    <t xml:space="preserve"> "COMM_US_PUB_PROD_DB"."BI_US_DMART_ELAAD"."ELAAD_DIM_PLAN"</t>
  </si>
  <si>
    <t>ELAAD_DIM_PROVIDER</t>
  </si>
  <si>
    <t>To get PFZ_CUST_ID</t>
  </si>
  <si>
    <t xml:space="preserve"> "COMM_US_PUB_PROD_DB"."BI_US_DMART_ELAAD"."ELAAD_DIM_PROVIDER"</t>
  </si>
  <si>
    <t>ELAAD_DIM_REJECT</t>
  </si>
  <si>
    <t>To get rejection reason</t>
  </si>
  <si>
    <t xml:space="preserve"> "COMM_US_PUB_PROD_DB"."BI_US_DMART_ELAAD"."ELAAD_DIM_REJECT"</t>
  </si>
  <si>
    <t>Plan/Payer</t>
  </si>
  <si>
    <t>DIM_CUST_PLAN_HIERY</t>
  </si>
  <si>
    <t>Plan/MCO/Payer info</t>
  </si>
  <si>
    <t>"COMM_US_PUB_PROD_DB"."BI_US_RNA"."DIM_CUST_PLAN_HIERY"</t>
  </si>
  <si>
    <t>MEMBER_ENROLLMENT</t>
  </si>
  <si>
    <t>"RWD_PROD"."OPTUMDOD_MTHLY"."MEMBER_ENROLLMENT"</t>
  </si>
  <si>
    <t>Geography</t>
  </si>
  <si>
    <t>DIM_ZIP</t>
  </si>
  <si>
    <t>Has ZIP5, MSA , County</t>
  </si>
  <si>
    <t xml:space="preserve">"COMM_US_PUB_PROD_DB"."BI_US_RNA"."DIM_ZIP" </t>
  </si>
  <si>
    <t>DIM_ST</t>
  </si>
  <si>
    <t>Has St Code, ST Description.</t>
  </si>
  <si>
    <t xml:space="preserve">"COMM_US_PUB_PROD_DB"."BI_US_RNA"."DIM_ST" </t>
  </si>
  <si>
    <t>ZIP2MSA</t>
  </si>
  <si>
    <t xml:space="preserve">Zip to MSA, DMA, Lat , Long </t>
  </si>
  <si>
    <t>COMM_US_BA_PROD_DB.CDW_US_ASB_GBA_DB.ZIP2MSA</t>
  </si>
  <si>
    <t>CONSOLIDATED_ENROLLMENT</t>
  </si>
  <si>
    <t>"RWD_PROD"."HV_RX_PHARMACY"."CONSOLIDATED_ENROLLMENT"</t>
  </si>
  <si>
    <t>Alignment/calls tables</t>
  </si>
  <si>
    <t>IMAP</t>
  </si>
  <si>
    <t>IMAP_TARGET_LIST</t>
  </si>
  <si>
    <t>HSS target list of accounts</t>
  </si>
  <si>
    <t>"VAW_AMER_DESIGN"."PRIMARYCARECEPDRIVERANALYTICS"."PRIMARYCARECEPDRIVERANALYTICS_IMAP_TARGET_LIST_SF"</t>
  </si>
  <si>
    <t>Dart V</t>
  </si>
  <si>
    <t>HSS calls</t>
  </si>
  <si>
    <t>HSS calls to HCPs/accounts</t>
  </si>
  <si>
    <t>COMM_US_PUB_PROD_DB."BI_US_DMART_VACCINES"."BA_VACC_FCT_CALLS"</t>
  </si>
  <si>
    <t>Has calls to HCPs and these calls are summed up at an account level which is also present in this data itself</t>
  </si>
  <si>
    <t>Sem 360</t>
  </si>
  <si>
    <t>HSS calls with priority info</t>
  </si>
  <si>
    <t>Has calls to HCPs and these calls are summed up at an account level which is also present in this data itself 
and also has the priority order in which brands are detailed in a call</t>
  </si>
  <si>
    <t>Valkyrie</t>
  </si>
  <si>
    <t>VAM goals/meetings</t>
  </si>
  <si>
    <t>Goals/meetings for VAM</t>
  </si>
  <si>
    <t>Goals/meetings for VAM but the agenda for the meeting is missing</t>
  </si>
  <si>
    <t>S.no</t>
  </si>
  <si>
    <t>Tab</t>
  </si>
  <si>
    <t xml:space="preserve">Modification </t>
  </si>
  <si>
    <t>1. Low data coverage as it has only one payer info i.e. ESI
2. HCP info not present in Diagnosis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</si>
</sst>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b/>
      <i/>
      <sz val="16"/>
      <color theme="1"/>
      <name val="Aptos Narrow"/>
      <family val="2"/>
      <scheme val="minor"/>
    </font>
    <font>
      <b/>
      <i/>
      <sz val="14"/>
      <color theme="1"/>
      <name val="Aptos Narrow"/>
      <family val="2"/>
      <scheme val="minor"/>
    </font>
    <font>
      <i/>
      <sz val="44"/>
      <color rgb="FFFFAA5B"/>
      <name val="Arial"/>
      <family val="2"/>
    </font>
    <font>
      <b/>
      <i/>
      <sz val="18"/>
      <color theme="1"/>
      <name val="Aptos Narrow"/>
      <family val="2"/>
      <scheme val="minor"/>
    </font>
  </fonts>
  <fills count="4">
    <fill>
      <patternFill patternType="none"/>
    </fill>
    <fill>
      <patternFill patternType="gray125"/>
    </fill>
    <fill>
      <patternFill patternType="solid">
        <fgColor rgb="FF002060"/>
        <bgColor indexed="64"/>
      </patternFill>
    </fill>
    <fill>
      <patternFill patternType="solid">
        <fgColor theme="4" tint="-0.249977111117893"/>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1" fillId="2" borderId="1" xfId="0" applyFont="1" applyFill="1" applyBorder="1" applyAlignment="1">
      <alignment horizontal="left"/>
    </xf>
    <xf numFmtId="0" fontId="0" fillId="0" borderId="1" xfId="0" applyBorder="1" applyAlignment="1">
      <alignment vertical="center"/>
    </xf>
    <xf numFmtId="0" fontId="2" fillId="0" borderId="1" xfId="0" applyFont="1" applyBorder="1" applyAlignment="1">
      <alignment vertical="center"/>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horizontal="left" vertical="center"/>
    </xf>
    <xf numFmtId="0" fontId="0" fillId="0" borderId="0" xfId="0" applyAlignment="1">
      <alignment wrapText="1"/>
    </xf>
    <xf numFmtId="0" fontId="3" fillId="0" borderId="1" xfId="1" applyBorder="1" applyAlignment="1">
      <alignment vertical="center" wrapText="1"/>
    </xf>
    <xf numFmtId="0" fontId="2" fillId="0" borderId="1" xfId="0" applyFont="1" applyBorder="1" applyAlignment="1">
      <alignment horizontal="left" vertical="center"/>
    </xf>
    <xf numFmtId="0" fontId="0" fillId="0" borderId="1" xfId="0" applyBorder="1" applyAlignment="1">
      <alignment horizontal="left" vertical="center" wrapText="1"/>
    </xf>
    <xf numFmtId="0" fontId="3" fillId="0" borderId="1" xfId="1" applyBorder="1" applyAlignment="1">
      <alignment horizontal="left" vertical="center" wrapText="1"/>
    </xf>
    <xf numFmtId="0" fontId="4" fillId="0" borderId="0" xfId="0" applyFont="1"/>
    <xf numFmtId="0" fontId="0" fillId="0" borderId="1" xfId="1" applyFont="1" applyBorder="1" applyAlignment="1">
      <alignment horizontal="center" vertical="center" wrapText="1"/>
    </xf>
    <xf numFmtId="0" fontId="0" fillId="0" borderId="2" xfId="0" applyBorder="1" applyAlignment="1">
      <alignment horizontal="left" vertical="center"/>
    </xf>
    <xf numFmtId="0" fontId="2" fillId="0" borderId="2" xfId="0" applyFont="1" applyBorder="1" applyAlignment="1">
      <alignment horizontal="left" vertical="center"/>
    </xf>
    <xf numFmtId="0" fontId="0" fillId="0" borderId="2" xfId="0" applyBorder="1" applyAlignment="1">
      <alignment horizontal="left" vertical="center" wrapText="1"/>
    </xf>
    <xf numFmtId="0" fontId="3" fillId="0" borderId="2" xfId="1" applyBorder="1" applyAlignment="1">
      <alignment horizontal="left" vertical="center" wrapText="1"/>
    </xf>
    <xf numFmtId="0" fontId="0" fillId="0" borderId="2" xfId="1" applyFont="1" applyBorder="1" applyAlignment="1">
      <alignment horizontal="center" vertical="center" wrapText="1"/>
    </xf>
    <xf numFmtId="0" fontId="0" fillId="0" borderId="1" xfId="0" applyBorder="1" applyAlignment="1">
      <alignment horizontal="center"/>
    </xf>
    <xf numFmtId="0" fontId="5" fillId="0" borderId="0" xfId="0" applyFont="1"/>
    <xf numFmtId="0" fontId="1" fillId="2" borderId="1" xfId="0" applyFont="1" applyFill="1" applyBorder="1" applyAlignment="1">
      <alignment horizontal="center"/>
    </xf>
    <xf numFmtId="0" fontId="6" fillId="0" borderId="0" xfId="0" applyFont="1"/>
    <xf numFmtId="0" fontId="3" fillId="0" borderId="1" xfId="1" applyBorder="1" applyAlignment="1">
      <alignment horizontal="center" vertical="center" wrapText="1"/>
    </xf>
    <xf numFmtId="0" fontId="0" fillId="0" borderId="3" xfId="0" applyBorder="1" applyAlignment="1">
      <alignment horizontal="center"/>
    </xf>
    <xf numFmtId="0" fontId="0" fillId="0" borderId="1" xfId="0" applyBorder="1" applyAlignment="1">
      <alignment horizontal="left"/>
    </xf>
    <xf numFmtId="0" fontId="0" fillId="0" borderId="1" xfId="0" applyBorder="1" applyAlignment="1">
      <alignment horizontal="left" wrapText="1"/>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xf>
    <xf numFmtId="0" fontId="1" fillId="2" borderId="1" xfId="0" applyFont="1" applyFill="1" applyBorder="1" applyAlignment="1">
      <alignment horizontal="left" vertical="center"/>
    </xf>
    <xf numFmtId="0" fontId="0" fillId="0" borderId="1" xfId="0" applyBorder="1"/>
    <xf numFmtId="0" fontId="7" fillId="0" borderId="0" xfId="0" applyFont="1"/>
    <xf numFmtId="0" fontId="1" fillId="3" borderId="1" xfId="0" applyFont="1" applyFill="1" applyBorder="1"/>
    <xf numFmtId="0" fontId="0" fillId="0" borderId="1" xfId="0" applyBorder="1" applyAlignment="1">
      <alignment wrapText="1"/>
    </xf>
    <xf numFmtId="0" fontId="0" fillId="0" borderId="1" xfId="0" applyBorder="1" applyAlignment="1">
      <alignment horizontal="center" vertical="center"/>
    </xf>
    <xf numFmtId="0" fontId="3" fillId="0" borderId="1" xfId="1" applyBorder="1" applyAlignment="1">
      <alignment wrapText="1"/>
    </xf>
    <xf numFmtId="0" fontId="3" fillId="0" borderId="1" xfId="1" applyBorder="1"/>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573127</xdr:colOff>
      <xdr:row>3</xdr:row>
      <xdr:rowOff>51017</xdr:rowOff>
    </xdr:from>
    <xdr:to>
      <xdr:col>20</xdr:col>
      <xdr:colOff>11072</xdr:colOff>
      <xdr:row>39</xdr:row>
      <xdr:rowOff>3390</xdr:rowOff>
    </xdr:to>
    <xdr:pic>
      <xdr:nvPicPr>
        <xdr:cNvPr id="9" name="Picture 2">
          <a:extLst>
            <a:ext uri="{FF2B5EF4-FFF2-40B4-BE49-F238E27FC236}">
              <a16:creationId xmlns:a16="http://schemas.microsoft.com/office/drawing/2014/main" id="{45B9F66F-AA62-4325-F4C0-9AE7D1CDFDAB}"/>
            </a:ext>
          </a:extLst>
        </xdr:cNvPr>
        <xdr:cNvPicPr>
          <a:picLocks noChangeAspect="1"/>
        </xdr:cNvPicPr>
      </xdr:nvPicPr>
      <xdr:blipFill>
        <a:blip xmlns:r="http://schemas.openxmlformats.org/officeDocument/2006/relationships" r:embed="rId1"/>
        <a:stretch>
          <a:fillRect/>
        </a:stretch>
      </xdr:blipFill>
      <xdr:spPr>
        <a:xfrm>
          <a:off x="1185448" y="1116910"/>
          <a:ext cx="11072053" cy="6755944"/>
        </a:xfrm>
        <a:prstGeom prst="rect">
          <a:avLst/>
        </a:prstGeom>
      </xdr:spPr>
    </xdr:pic>
    <xdr:clientData/>
  </xdr:twoCellAnchor>
  <xdr:twoCellAnchor editAs="oneCell">
    <xdr:from>
      <xdr:col>21</xdr:col>
      <xdr:colOff>0</xdr:colOff>
      <xdr:row>5</xdr:row>
      <xdr:rowOff>0</xdr:rowOff>
    </xdr:from>
    <xdr:to>
      <xdr:col>43</xdr:col>
      <xdr:colOff>441287</xdr:colOff>
      <xdr:row>42</xdr:row>
      <xdr:rowOff>47568</xdr:rowOff>
    </xdr:to>
    <xdr:pic>
      <xdr:nvPicPr>
        <xdr:cNvPr id="11" name="Picture 3">
          <a:extLst>
            <a:ext uri="{FF2B5EF4-FFF2-40B4-BE49-F238E27FC236}">
              <a16:creationId xmlns:a16="http://schemas.microsoft.com/office/drawing/2014/main" id="{993D743C-BEC0-366F-950E-CE33DD1CE213}"/>
            </a:ext>
          </a:extLst>
        </xdr:cNvPr>
        <xdr:cNvPicPr>
          <a:picLocks noChangeAspect="1"/>
        </xdr:cNvPicPr>
      </xdr:nvPicPr>
      <xdr:blipFill>
        <a:blip xmlns:r="http://schemas.openxmlformats.org/officeDocument/2006/relationships" r:embed="rId2"/>
        <a:stretch>
          <a:fillRect/>
        </a:stretch>
      </xdr:blipFill>
      <xdr:spPr>
        <a:xfrm>
          <a:off x="12841111" y="1458148"/>
          <a:ext cx="13852487" cy="69497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pfizer.sharepoint.com/sites/VacceleratorSite/SitePages/Home.aspx?env=WebView" TargetMode="External"/><Relationship Id="rId1" Type="http://schemas.openxmlformats.org/officeDocument/2006/relationships/hyperlink" Target="https://pfizer.sharepoint.com/sites/EnterpriseDataSolutions1/Document%20Library/Forms/AllItems.aspx?ga=1&amp;id=%2Fsites%2FEnterpriseDataSolutions1%2FDocument%20Library%2FSupportive%20Docs%2FReal%20World%20Data%2FRWD%20Assets&amp;viewid=b20cd7a6%2Dcead%2D4102%2D8dd4%2D7ec2065c840b"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dss-amer-design.pfizer.com/projects/USVACCINESADHOCANALYTICSPARTB/recipes/compute_SQL_844_COMIRNATY_CHAIN_DATE_DOSES_SF/" TargetMode="External"/><Relationship Id="rId3" Type="http://schemas.openxmlformats.org/officeDocument/2006/relationships/hyperlink" Target="https://pfizer.sharepoint.com/:x:/r/sites/PrimaryCareAnalytics2/Shared%20Documents/General/20251111%20IDN%20in%20house%20pharmacy%20investigation%20v3.xlsx?d=w54621bc6702b43e88e77647ce2bea983&amp;csf=1&amp;web=1&amp;e=T67DaQ" TargetMode="External"/><Relationship Id="rId7" Type="http://schemas.openxmlformats.org/officeDocument/2006/relationships/hyperlink" Target="https://dss-amer-design.pfizer.com/projects/USVACCINESADHOCANALYTICSPARTB/recipes/compute_SQL_852_ABRYSVO_WEEK_DOSES_SF/" TargetMode="External"/><Relationship Id="rId12" Type="http://schemas.openxmlformats.org/officeDocument/2006/relationships/hyperlink" Target="https://pfizer.sharepoint.com/:x:/r/sites/PrimaryCareAnalytics2/Shared%20Documents/General/20251126%20DDD,%20867,%20LAAD%20Px%20Abrysvo%20MA%20split.xlsx?d=w4eb256dcc5324b9bafa342eae7214786&amp;csf=1&amp;web=1&amp;e=dtiqei" TargetMode="External"/><Relationship Id="rId2" Type="http://schemas.openxmlformats.org/officeDocument/2006/relationships/hyperlink" Target="https://dss-amer-design.pfizer.com/projects/USPRIMARYCAREADHOCANALYTICSPARTC/recipes/compute_SQL_867_ORALS_SF/" TargetMode="External"/><Relationship Id="rId1" Type="http://schemas.openxmlformats.org/officeDocument/2006/relationships/hyperlink" Target="https://dss-amer-design.pfizer.com/projects/USIMVACCINESSDL/recipes/compute_SQL_DDD_IM_STACK_SF/" TargetMode="External"/><Relationship Id="rId6" Type="http://schemas.openxmlformats.org/officeDocument/2006/relationships/hyperlink" Target="https://pfizer.sharepoint.com/:x:/r/sites/PrimaryCareAnalytics2/Shared%20Documents/General/20251104%20IDN%20in%20house%20pharmacy%20investigation.xlsx?d=w339730b35dec445fbe826ee2beea8896&amp;csf=1&amp;web=1&amp;e=0hT6er" TargetMode="External"/><Relationship Id="rId11" Type="http://schemas.openxmlformats.org/officeDocument/2006/relationships/hyperlink" Target="https://pfizer.sharepoint.com/:x:/r/sites/PrimaryCareAnalytics2/Shared%20Documents/General/20251126%20DDD,%20867,%20LAAD%20Px%20Abrysvo%20MA%20split.xlsx?d=w4eb256dcc5324b9bafa342eae7214786&amp;csf=1&amp;web=1&amp;e=dtiqei" TargetMode="External"/><Relationship Id="rId5" Type="http://schemas.openxmlformats.org/officeDocument/2006/relationships/hyperlink" Target="https://dss-amer-design.pfizer.com/projects/USPRIMARYCAREADHOCANALYTICSPARTC/recipes/compute_SQL_867_VACCINES_SF/" TargetMode="External"/><Relationship Id="rId10" Type="http://schemas.openxmlformats.org/officeDocument/2006/relationships/hyperlink" Target="https://dss-amer-design.pfizer.com/projects/USVACCINESADHOCANALYTICSPARTB/recipes/compute_SQL_FCT_CUST_END_PREVNAR_SF/" TargetMode="External"/><Relationship Id="rId4" Type="http://schemas.openxmlformats.org/officeDocument/2006/relationships/hyperlink" Target="https://pfizer.sharepoint.com/:x:/r/sites/PrimaryCareAnalytics2/Shared%20Documents/20251104%20US%20Pharmacy%20Landscape%20Analysis%20.xlsx?d=w0594de83c7aa4a8eb593499016c57fc0&amp;csf=1&amp;web=1&amp;e=qGprHZ" TargetMode="External"/><Relationship Id="rId9" Type="http://schemas.openxmlformats.org/officeDocument/2006/relationships/hyperlink" Target="https://dss-amer-design.pfizer.com/projects/USVACCINESADHOCANALYTICSPARTB/recipes/compute_SQL_DDD_COMIRNATY_WEEK_DOSES_S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fizer.sharepoint.com/:x:/r/sites/PrimaryCareAnalytics2/Shared%20Documents/General/Data%20Dictionaries/OPTUM%20CDM%20Data%20Dictionary%207.1%20DOD.xlsx?d=wff2ab05100274f0bbec58a918e826c06&amp;csf=1&amp;web=1&amp;e=GYctNL" TargetMode="External"/><Relationship Id="rId13" Type="http://schemas.openxmlformats.org/officeDocument/2006/relationships/hyperlink" Target="https://pfizer.sharepoint.com/:x:/r/sites/PrimaryCareAnalytics2/Shared%20Documents/2025119%20Oral%20CGRP%20Growth%20Investigation%20V1%20.xlsx?d=w3600b63a164048048e59a96c38a78236&amp;csf=1&amp;web=1&amp;e=ZgpsLG" TargetMode="External"/><Relationship Id="rId18" Type="http://schemas.openxmlformats.org/officeDocument/2006/relationships/hyperlink" Target="https://pfizer.sharepoint.com/:x:/r/sites/PrimaryCareAnalytics2/Shared%20Documents/General/Tom%27s%20Covid%20Vx%20Deliverable/20251128_%20COVID%20HV%20Retailer,%20State%20Vx%20rates%20and%20Moderna%20uptake%20.xlsx?d=w96c0b197bc5c477b97d5816fd42ae7ac&amp;csf=1&amp;web=1&amp;e=pKKUZ9" TargetMode="External"/><Relationship Id="rId3" Type="http://schemas.openxmlformats.org/officeDocument/2006/relationships/hyperlink" Target="https://dss-amer-design.pfizer.com/projects/USIMVACCINESSDL/recipes/compute_SQL_ELAAD_PREGNANT_WOMEN_SF/" TargetMode="External"/><Relationship Id="rId7" Type="http://schemas.openxmlformats.org/officeDocument/2006/relationships/hyperlink" Target="https://pfizer.sharepoint.com/:x:/r/sites/PrimaryCareAnalytics2/Shared%20Documents/General/Data%20Dictionaries/ELAAD%20-%20Data%20Dictionary.xlsx?d=wbce3dfc37492471ba8adabdb1d42a796&amp;csf=1&amp;web=1&amp;e=bzBLUT" TargetMode="External"/><Relationship Id="rId12" Type="http://schemas.openxmlformats.org/officeDocument/2006/relationships/hyperlink" Target="https://pfizer.sharepoint.com/:x:/r/sites/PrimaryCareAnalytics2/Shared%20Documents/General/20251126%20DDD,%20867,%20LAAD%20Px%20Abrysvo%20MA%20split.xlsx?d=w4eb256dcc5324b9bafa342eae7214786&amp;csf=1&amp;web=1&amp;e=dtiqei" TargetMode="External"/><Relationship Id="rId17" Type="http://schemas.openxmlformats.org/officeDocument/2006/relationships/hyperlink" Target="https://pfizer.sharepoint.com/:x:/r/sites/PrimaryCareAnalytics2/Shared%20Documents/General/20250429%20RSV%20ACIP%20Change%20Impact.xlsx?d=wfa7f0bca40a74a2da708515d52b52d9c&amp;csf=1&amp;web=1&amp;e=OBMif2" TargetMode="External"/><Relationship Id="rId2" Type="http://schemas.openxmlformats.org/officeDocument/2006/relationships/hyperlink" Target="https://dss-amer-design.pfizer.com/projects/USIMVACCINESSDL/recipes/compute_SQL_OPTUM_RSV_RX_PX_UNION_SF/" TargetMode="External"/><Relationship Id="rId16" Type="http://schemas.openxmlformats.org/officeDocument/2006/relationships/hyperlink" Target="https://pfizer.sharepoint.com/:x:/r/sites/PrimaryCareAnalytics2/Shared%20Documents/General/Nurtec%20(CGRP%27s,%20Migraine%20Market)/20251028%20Migraine%20Drop%20Off%20V2.xlsx?d=wf81f2dd85a0c4157a9cca279e1ccce6e&amp;csf=1&amp;web=1&amp;e=BfBCVQ" TargetMode="External"/><Relationship Id="rId20" Type="http://schemas.openxmlformats.org/officeDocument/2006/relationships/hyperlink" Target="https://pfizer.sharepoint.com/:x:/r/sites/PrimaryCareAnalytics2/Shared%20Documents/General/ZS%20Internal%20Onboarding/Useful%20Materials/Copy%20of%20Vx%20Business%20Data%20Assets%20Data%20Dictionary.xlsx?d=w2c26ec00100e40e9917fa063a29e40fe&amp;csf=1&amp;web=1&amp;e=CpxKPl-" TargetMode="External"/><Relationship Id="rId1" Type="http://schemas.openxmlformats.org/officeDocument/2006/relationships/hyperlink" Target="https://dss-amer-design.pfizer.com/projects/USIMVACCINESSDL/recipes/compute_SQL_HV_OAC_MARKET_SF/" TargetMode="External"/><Relationship Id="rId6" Type="http://schemas.openxmlformats.org/officeDocument/2006/relationships/hyperlink" Target="https://dss-amer-design.pfizer.com/projects/USMIGRAINEIISRPTETL/recipes/compute_SQL_MIGRAINE_ALL_FH_TREATMENT_CLAIMS_SF/" TargetMode="External"/><Relationship Id="rId11" Type="http://schemas.openxmlformats.org/officeDocument/2006/relationships/hyperlink" Target="https://pfizer.sharepoint.com/:x:/r/sites/PrimaryCareAnalytics2/Shared%20Documents/20251114%20CDS%20and%20HV%20Erx%20comparision.xlsx?d=w033e0f602b444dd8a078f710c6765c98&amp;csf=1&amp;web=1&amp;e=W9c7Gr" TargetMode="External"/><Relationship Id="rId5" Type="http://schemas.openxmlformats.org/officeDocument/2006/relationships/hyperlink" Target="https://dss-amer-design.pfizer.com/projects/USMIGRAINEANALYTICS/recipes/compute_SQL_LAAD_ALL_MIGRAINE_TREATMENT_CLAIM_BY_DRUG_CLASS_SF/" TargetMode="External"/><Relationship Id="rId15" Type="http://schemas.openxmlformats.org/officeDocument/2006/relationships/hyperlink" Target="https://pfizer.sharepoint.com/:x:/r/sites/PrimaryCareAnalytics2/Shared%20Documents/General/Nurtec%20(CGRP%27s,%20Migraine%20Market)/20251028%20Migraine%20Drop%20Off%20V2.xlsx?d=wf81f2dd85a0c4157a9cca279e1ccce6e&amp;csf=1&amp;web=1&amp;e=BfBCVQ" TargetMode="External"/><Relationship Id="rId10" Type="http://schemas.openxmlformats.org/officeDocument/2006/relationships/hyperlink" Target="https://pfizer.sharepoint.com/:b:/r/sites/EnterpriseDataSolutions1/Document%20Library/Supportive%20Docs/Real%20World%20Data/RWD%20Assets/FORSYTH%20HEALTH/FORSYTH_MIGRAINE_ONC/Data%20Dictionaries/FH%20Data%20Dictionary%20V3.0.pdf?csf=1&amp;web=1&amp;e=j4hOrw" TargetMode="External"/><Relationship Id="rId19" Type="http://schemas.openxmlformats.org/officeDocument/2006/relationships/hyperlink" Target="https://pfizer.sharepoint.com/:x:/r/sites/PrimaryCareAnalytics2/Shared%20Documents/General/Nurtec%20(CGRP%27s,%20Migraine%20Market)/20251028%20PAP%20Changes%20on%20TRx.xlsx?d=w32a98cd46224418f85bdba13452c2fc2&amp;csf=1&amp;web=1&amp;e=6NSpCu" TargetMode="External"/><Relationship Id="rId4" Type="http://schemas.openxmlformats.org/officeDocument/2006/relationships/hyperlink" Target="https://dss-amer-design.pfizer.com/projects/USIMVACCINESSDL/recipes/compute_SQL_LAAD_W_RX_PX_UNION_COVID_MARKET_SF/" TargetMode="External"/><Relationship Id="rId9" Type="http://schemas.openxmlformats.org/officeDocument/2006/relationships/hyperlink" Target="https://pfizer.sharepoint.com/:x:/r/sites/PrimaryCareAnalytics2/Shared%20Documents/General/Data%20Dictionaries/New%20HealthVerity%20Data%20Dictionary%20.xlsx?d=wee6ef60e0dc84269a19ca197dd925486&amp;csf=1&amp;web=1&amp;e=SPhy6x" TargetMode="External"/><Relationship Id="rId14" Type="http://schemas.openxmlformats.org/officeDocument/2006/relationships/hyperlink" Target="https://pfizer.sharepoint.com/:x:/r/sites/PrimaryCareAnalytics2/Shared%20Documents/20251119%20US%20Pharmacy%20Landscape%20Analysis%20.xlsx?d=wd8c9477e82a6461d844cfdf9444d4fc8&amp;csf=1&amp;web=1&amp;e=QhdQZ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3505A-4F6D-4C95-8710-39E79883676A}">
  <sheetPr codeName="Sheet1"/>
  <dimension ref="A1:E6"/>
  <sheetViews>
    <sheetView showGridLines="0" workbookViewId="0">
      <selection activeCell="D5" sqref="D5"/>
    </sheetView>
  </sheetViews>
  <sheetFormatPr defaultColWidth="0" defaultRowHeight="14.5" zeroHeight="1" x14ac:dyDescent="0.35"/>
  <cols>
    <col min="1" max="1" width="3.54296875" customWidth="1"/>
    <col min="2" max="2" width="5.54296875" bestFit="1" customWidth="1"/>
    <col min="3" max="3" width="72.453125" customWidth="1"/>
    <col min="4" max="4" width="49.7265625" customWidth="1"/>
    <col min="5" max="5" width="3.54296875" customWidth="1"/>
    <col min="6" max="16384" width="8.7265625" hidden="1"/>
  </cols>
  <sheetData>
    <row r="1" spans="2:4" x14ac:dyDescent="0.35"/>
    <row r="2" spans="2:4" x14ac:dyDescent="0.35"/>
    <row r="3" spans="2:4" x14ac:dyDescent="0.35">
      <c r="B3" s="33" t="s">
        <v>0</v>
      </c>
      <c r="C3" s="33" t="s">
        <v>1</v>
      </c>
      <c r="D3" s="33" t="s">
        <v>2</v>
      </c>
    </row>
    <row r="4" spans="2:4" ht="29" x14ac:dyDescent="0.35">
      <c r="B4" s="35">
        <v>1</v>
      </c>
      <c r="C4" s="34" t="s">
        <v>3</v>
      </c>
      <c r="D4" s="36" t="s">
        <v>4</v>
      </c>
    </row>
    <row r="5" spans="2:4" x14ac:dyDescent="0.35">
      <c r="B5" s="35">
        <v>2</v>
      </c>
      <c r="C5" s="31" t="s">
        <v>5</v>
      </c>
      <c r="D5" s="37" t="s">
        <v>6</v>
      </c>
    </row>
    <row r="6" spans="2:4" x14ac:dyDescent="0.35"/>
  </sheetData>
  <hyperlinks>
    <hyperlink ref="D4" r:id="rId1" display="../../EnterpriseDataSolutions1/Document Library/Forms/AllItems.aspx?ga=1&amp;id=%2Fsites%2FEnterpriseDataSolutions1%2FDocument%20Library%2FSupportive%20Docs%2FReal%20World%20Data%2FRWD%20Assets&amp;viewid=b20cd7a6%2Dcead%2D4102%2D8dd4%2D7ec2065c840b" xr:uid="{CD955694-76D7-4BCA-AEB3-E0E2EEAB433D}"/>
    <hyperlink ref="D5" r:id="rId2" location="upskillingAnchor" display="../../VacceleratorSite/SitePages/Home.aspx?env=WebView - upskillingAnchor" xr:uid="{590B851B-4FD4-421F-9718-DD4535B8F7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EA2-D038-4102-A684-D324B3A686C3}">
  <sheetPr codeName="Sheet2"/>
  <dimension ref="C1:AU43"/>
  <sheetViews>
    <sheetView showGridLines="0" tabSelected="1" topLeftCell="R3" zoomScale="56" workbookViewId="0">
      <selection activeCell="T2" sqref="T2"/>
    </sheetView>
  </sheetViews>
  <sheetFormatPr defaultRowHeight="14.5" zeroHeight="1" x14ac:dyDescent="0.35"/>
  <sheetData>
    <row r="1" spans="3:47" x14ac:dyDescent="0.35"/>
    <row r="2" spans="3:47" x14ac:dyDescent="0.35"/>
    <row r="3" spans="3:47" ht="55.5" x14ac:dyDescent="1.1000000000000001">
      <c r="C3" s="22" t="s">
        <v>7</v>
      </c>
      <c r="W3" s="22" t="s">
        <v>8</v>
      </c>
      <c r="AU3" s="32" t="s">
        <v>9</v>
      </c>
    </row>
    <row r="4" spans="3:47" ht="21" x14ac:dyDescent="0.5">
      <c r="AU4" s="12" t="s">
        <v>10</v>
      </c>
    </row>
    <row r="5" spans="3:47" ht="21" x14ac:dyDescent="0.5">
      <c r="AU5" s="12" t="s">
        <v>11</v>
      </c>
    </row>
    <row r="6" spans="3:47" ht="21" x14ac:dyDescent="0.5">
      <c r="AU6" s="12" t="s">
        <v>12</v>
      </c>
    </row>
    <row r="7" spans="3:47" x14ac:dyDescent="0.35"/>
    <row r="8" spans="3:47" x14ac:dyDescent="0.35"/>
    <row r="9" spans="3:47" x14ac:dyDescent="0.35"/>
    <row r="10" spans="3:47" x14ac:dyDescent="0.35"/>
    <row r="11" spans="3:47" x14ac:dyDescent="0.35"/>
    <row r="12" spans="3:47" x14ac:dyDescent="0.35"/>
    <row r="13" spans="3:47" x14ac:dyDescent="0.35"/>
    <row r="14" spans="3:47" x14ac:dyDescent="0.35"/>
    <row r="15" spans="3:47" x14ac:dyDescent="0.35"/>
    <row r="16" spans="3:47"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5894-61CD-491A-936D-A0DA8A408097}">
  <sheetPr codeName="Sheet3"/>
  <dimension ref="A1:G12"/>
  <sheetViews>
    <sheetView showGridLines="0" zoomScale="122" workbookViewId="0">
      <selection activeCell="F9" sqref="F9"/>
    </sheetView>
  </sheetViews>
  <sheetFormatPr defaultColWidth="0" defaultRowHeight="14.5" zeroHeight="1" x14ac:dyDescent="0.35"/>
  <cols>
    <col min="1" max="1" width="3.54296875" customWidth="1"/>
    <col min="2" max="2" width="8.7265625" customWidth="1"/>
    <col min="3" max="3" width="13.81640625" customWidth="1"/>
    <col min="4" max="5" width="16.1796875" customWidth="1"/>
    <col min="6" max="6" width="47.54296875" bestFit="1" customWidth="1"/>
    <col min="7" max="7" width="3.54296875" customWidth="1"/>
    <col min="8" max="16384" width="8.7265625" hidden="1"/>
  </cols>
  <sheetData>
    <row r="1" spans="2:7" x14ac:dyDescent="0.35"/>
    <row r="4" spans="2:7" ht="18.5" x14ac:dyDescent="0.45">
      <c r="B4" s="20" t="s">
        <v>13</v>
      </c>
    </row>
    <row r="5" spans="2:7" x14ac:dyDescent="0.35">
      <c r="B5" s="21" t="s">
        <v>14</v>
      </c>
      <c r="C5" s="21" t="s">
        <v>15</v>
      </c>
      <c r="D5" s="21" t="s">
        <v>16</v>
      </c>
      <c r="E5" s="21" t="s">
        <v>17</v>
      </c>
      <c r="F5" s="21" t="s">
        <v>18</v>
      </c>
    </row>
    <row r="6" spans="2:7" x14ac:dyDescent="0.35">
      <c r="B6" s="19">
        <v>1</v>
      </c>
      <c r="C6" s="19" t="s">
        <v>19</v>
      </c>
      <c r="D6" s="19" t="s">
        <v>20</v>
      </c>
      <c r="E6" s="19" t="s">
        <v>21</v>
      </c>
      <c r="F6" s="19" t="s">
        <v>22</v>
      </c>
    </row>
    <row r="7" spans="2:7" x14ac:dyDescent="0.35">
      <c r="B7" s="19">
        <v>2</v>
      </c>
      <c r="C7" s="19" t="s">
        <v>23</v>
      </c>
      <c r="D7" s="19" t="s">
        <v>20</v>
      </c>
      <c r="E7" s="19" t="s">
        <v>24</v>
      </c>
      <c r="F7" s="19" t="s">
        <v>25</v>
      </c>
    </row>
    <row r="8" spans="2:7" x14ac:dyDescent="0.35">
      <c r="B8" s="19">
        <v>3</v>
      </c>
      <c r="C8" s="19" t="s">
        <v>26</v>
      </c>
      <c r="D8" s="19" t="s">
        <v>20</v>
      </c>
      <c r="E8" s="19" t="s">
        <v>27</v>
      </c>
      <c r="F8" s="19" t="s">
        <v>28</v>
      </c>
    </row>
    <row r="9" spans="2:7" x14ac:dyDescent="0.35">
      <c r="B9" s="19">
        <v>4</v>
      </c>
      <c r="C9" s="19" t="s">
        <v>29</v>
      </c>
      <c r="D9" s="19" t="s">
        <v>30</v>
      </c>
      <c r="E9" s="19" t="s">
        <v>27</v>
      </c>
      <c r="F9" s="19" t="s">
        <v>31</v>
      </c>
    </row>
    <row r="10" spans="2:7" x14ac:dyDescent="0.35">
      <c r="B10" s="19">
        <v>5</v>
      </c>
      <c r="C10" s="19" t="s">
        <v>32</v>
      </c>
      <c r="D10" s="19" t="s">
        <v>30</v>
      </c>
      <c r="E10" s="19" t="s">
        <v>33</v>
      </c>
      <c r="F10" s="19" t="s">
        <v>34</v>
      </c>
      <c r="G10" s="24"/>
    </row>
    <row r="11" spans="2:7" x14ac:dyDescent="0.35">
      <c r="B11" s="19">
        <v>6</v>
      </c>
      <c r="C11" s="19" t="s">
        <v>35</v>
      </c>
      <c r="D11" s="19" t="s">
        <v>30</v>
      </c>
      <c r="E11" s="19" t="s">
        <v>36</v>
      </c>
      <c r="F11" s="19" t="s">
        <v>37</v>
      </c>
    </row>
    <row r="12" spans="2:7"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EB3D1-3CF8-4338-8E54-B1624845B0B9}">
  <sheetPr codeName="Sheet4"/>
  <dimension ref="B3:L11"/>
  <sheetViews>
    <sheetView showGridLines="0" zoomScale="59" workbookViewId="0">
      <selection activeCell="F7" sqref="F7"/>
    </sheetView>
  </sheetViews>
  <sheetFormatPr defaultRowHeight="14.5" x14ac:dyDescent="0.35"/>
  <cols>
    <col min="1" max="1" width="3.54296875" customWidth="1"/>
    <col min="3" max="3" width="20.26953125" customWidth="1"/>
    <col min="4" max="4" width="33" customWidth="1"/>
    <col min="5" max="5" width="24.26953125" customWidth="1"/>
    <col min="6" max="6" width="35.1796875" customWidth="1"/>
    <col min="7" max="7" width="18.54296875" customWidth="1"/>
    <col min="8" max="8" width="45.453125" customWidth="1"/>
    <col min="9" max="9" width="47.36328125" bestFit="1" customWidth="1"/>
    <col min="10" max="10" width="49.81640625" customWidth="1"/>
    <col min="11" max="11" width="38.1796875" customWidth="1"/>
    <col min="12" max="12" width="43.81640625" customWidth="1"/>
  </cols>
  <sheetData>
    <row r="3" spans="2:12" ht="21" x14ac:dyDescent="0.5">
      <c r="B3" s="12" t="s">
        <v>38</v>
      </c>
    </row>
    <row r="4" spans="2:12" x14ac:dyDescent="0.35">
      <c r="B4" s="27" t="s">
        <v>14</v>
      </c>
      <c r="C4" s="27" t="s">
        <v>39</v>
      </c>
      <c r="D4" s="27" t="s">
        <v>40</v>
      </c>
      <c r="E4" s="27" t="s">
        <v>41</v>
      </c>
      <c r="F4" s="27" t="s">
        <v>42</v>
      </c>
      <c r="G4" s="27" t="s">
        <v>43</v>
      </c>
      <c r="H4" s="27" t="s">
        <v>44</v>
      </c>
      <c r="I4" s="27" t="s">
        <v>45</v>
      </c>
      <c r="J4" s="27" t="s">
        <v>46</v>
      </c>
      <c r="K4" s="27" t="s">
        <v>47</v>
      </c>
      <c r="L4" s="27" t="s">
        <v>48</v>
      </c>
    </row>
    <row r="5" spans="2:12" s="5" customFormat="1" ht="70.5" customHeight="1" x14ac:dyDescent="0.35">
      <c r="B5" s="6">
        <v>1</v>
      </c>
      <c r="C5" s="9" t="s">
        <v>49</v>
      </c>
      <c r="D5" s="6" t="s">
        <v>50</v>
      </c>
      <c r="E5" s="6" t="s">
        <v>51</v>
      </c>
      <c r="F5" s="6" t="s">
        <v>52</v>
      </c>
      <c r="G5" s="6" t="s">
        <v>53</v>
      </c>
      <c r="H5" s="6" t="s">
        <v>54</v>
      </c>
      <c r="I5" s="10" t="s">
        <v>55</v>
      </c>
      <c r="J5" s="4" t="s">
        <v>56</v>
      </c>
      <c r="K5" s="11" t="s">
        <v>57</v>
      </c>
      <c r="L5" s="23" t="s">
        <v>58</v>
      </c>
    </row>
    <row r="6" spans="2:12" s="5" customFormat="1" ht="57.65" customHeight="1" x14ac:dyDescent="0.35">
      <c r="B6" s="6">
        <v>2</v>
      </c>
      <c r="C6" s="3" t="s">
        <v>49</v>
      </c>
      <c r="D6" s="2" t="s">
        <v>59</v>
      </c>
      <c r="E6" s="4" t="s">
        <v>60</v>
      </c>
      <c r="F6" s="4" t="s">
        <v>61</v>
      </c>
      <c r="G6" s="2" t="s">
        <v>53</v>
      </c>
      <c r="H6" s="4" t="s">
        <v>62</v>
      </c>
      <c r="I6" s="4" t="s">
        <v>63</v>
      </c>
      <c r="J6" s="4" t="s">
        <v>64</v>
      </c>
      <c r="K6" s="8" t="s">
        <v>65</v>
      </c>
      <c r="L6" s="8" t="s">
        <v>66</v>
      </c>
    </row>
    <row r="7" spans="2:12" s="5" customFormat="1" ht="98.15" customHeight="1" x14ac:dyDescent="0.35">
      <c r="B7" s="6">
        <v>3</v>
      </c>
      <c r="C7" s="9">
        <v>867</v>
      </c>
      <c r="D7" s="6" t="s">
        <v>67</v>
      </c>
      <c r="E7" s="6" t="s">
        <v>51</v>
      </c>
      <c r="F7" s="6" t="s">
        <v>68</v>
      </c>
      <c r="G7" s="6" t="s">
        <v>69</v>
      </c>
      <c r="H7" s="6" t="s">
        <v>54</v>
      </c>
      <c r="I7" s="10" t="s">
        <v>70</v>
      </c>
      <c r="J7" s="6"/>
      <c r="K7" s="11" t="s">
        <v>71</v>
      </c>
      <c r="L7" s="11" t="s">
        <v>72</v>
      </c>
    </row>
    <row r="8" spans="2:12" s="5" customFormat="1" ht="136.5" customHeight="1" x14ac:dyDescent="0.35">
      <c r="B8" s="6">
        <v>4</v>
      </c>
      <c r="C8" s="9">
        <v>867</v>
      </c>
      <c r="D8" s="6" t="s">
        <v>73</v>
      </c>
      <c r="E8" s="10" t="s">
        <v>74</v>
      </c>
      <c r="F8" s="10" t="s">
        <v>75</v>
      </c>
      <c r="G8" s="6" t="s">
        <v>69</v>
      </c>
      <c r="H8" s="10" t="s">
        <v>76</v>
      </c>
      <c r="I8" s="10" t="s">
        <v>70</v>
      </c>
      <c r="J8" s="10" t="s">
        <v>77</v>
      </c>
      <c r="K8" s="11" t="s">
        <v>78</v>
      </c>
      <c r="L8" s="11" t="s">
        <v>79</v>
      </c>
    </row>
    <row r="9" spans="2:12" ht="86.15" customHeight="1" x14ac:dyDescent="0.35">
      <c r="B9" s="14">
        <v>5</v>
      </c>
      <c r="C9" s="15">
        <v>852</v>
      </c>
      <c r="D9" s="14" t="s">
        <v>80</v>
      </c>
      <c r="E9" s="16" t="s">
        <v>74</v>
      </c>
      <c r="F9" s="16" t="s">
        <v>81</v>
      </c>
      <c r="G9" s="14" t="s">
        <v>69</v>
      </c>
      <c r="H9" s="16" t="s">
        <v>82</v>
      </c>
      <c r="I9" s="16" t="s">
        <v>83</v>
      </c>
      <c r="J9" s="16"/>
      <c r="K9" s="17" t="s">
        <v>84</v>
      </c>
      <c r="L9" s="18" t="s">
        <v>85</v>
      </c>
    </row>
    <row r="10" spans="2:12" ht="58" x14ac:dyDescent="0.35">
      <c r="B10" s="6">
        <v>6</v>
      </c>
      <c r="C10" s="9">
        <v>844</v>
      </c>
      <c r="D10" s="6" t="s">
        <v>86</v>
      </c>
      <c r="E10" s="10" t="s">
        <v>51</v>
      </c>
      <c r="F10" s="10" t="s">
        <v>87</v>
      </c>
      <c r="G10" s="6" t="s">
        <v>69</v>
      </c>
      <c r="H10" s="10"/>
      <c r="I10" s="4" t="s">
        <v>63</v>
      </c>
      <c r="J10" s="10"/>
      <c r="K10" s="11" t="s">
        <v>88</v>
      </c>
      <c r="L10" s="13" t="s">
        <v>85</v>
      </c>
    </row>
    <row r="11" spans="2:12" ht="66" customHeight="1" x14ac:dyDescent="0.35">
      <c r="B11" s="6">
        <v>6</v>
      </c>
      <c r="C11" s="9" t="s">
        <v>89</v>
      </c>
      <c r="D11" s="6" t="s">
        <v>89</v>
      </c>
      <c r="E11" s="10" t="s">
        <v>51</v>
      </c>
      <c r="F11" s="10" t="s">
        <v>90</v>
      </c>
      <c r="G11" s="6" t="s">
        <v>69</v>
      </c>
      <c r="H11" s="10" t="s">
        <v>91</v>
      </c>
      <c r="I11" s="10" t="s">
        <v>92</v>
      </c>
      <c r="J11" s="10"/>
      <c r="K11" s="11" t="s">
        <v>93</v>
      </c>
      <c r="L11" s="23" t="s">
        <v>58</v>
      </c>
    </row>
  </sheetData>
  <hyperlinks>
    <hyperlink ref="K6" r:id="rId1" xr:uid="{325D311E-F495-438F-891C-8FD4935459B6}"/>
    <hyperlink ref="K8" r:id="rId2" xr:uid="{C6BB2D1F-F908-44E3-B0D7-9E9543D7B92C}"/>
    <hyperlink ref="L8" r:id="rId3" xr:uid="{0A807B0E-1C8E-419B-B0F9-9B0E29498446}"/>
    <hyperlink ref="L7" r:id="rId4" xr:uid="{3280A28C-8960-48CB-B552-2BE7E5E8A163}"/>
    <hyperlink ref="K7" r:id="rId5" xr:uid="{9A9F2CE2-A4F5-47A5-A804-40BBEF61D39F}"/>
    <hyperlink ref="L6" r:id="rId6" xr:uid="{E316BE38-B1F2-46E2-A5EF-CC80169B5A35}"/>
    <hyperlink ref="K9" r:id="rId7" xr:uid="{DEB000A6-F912-4844-B344-A9FE03FBDF91}"/>
    <hyperlink ref="K10" r:id="rId8" xr:uid="{F9AEEDAA-BC0D-4416-912C-21E24BE63AC4}"/>
    <hyperlink ref="K5" r:id="rId9" xr:uid="{A12FCD89-ED30-4971-AF14-881CA3BF42FC}"/>
    <hyperlink ref="K11" r:id="rId10" xr:uid="{5EB8890F-1ADD-4525-8A30-2F025B570880}"/>
    <hyperlink ref="L5" r:id="rId11" xr:uid="{1FA5F9EC-217B-4EB3-A7E6-18375CDDA045}"/>
    <hyperlink ref="L11" r:id="rId12" xr:uid="{232F5AAE-1EF4-4A04-ACA0-03A3F2652BE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041C-FCDA-4C35-AEED-C83B0C04490E}">
  <sheetPr codeName="Sheet5"/>
  <dimension ref="A2:L18"/>
  <sheetViews>
    <sheetView showGridLines="0" zoomScale="66" workbookViewId="0">
      <selection activeCell="I10" sqref="I10"/>
    </sheetView>
  </sheetViews>
  <sheetFormatPr defaultRowHeight="14.5" x14ac:dyDescent="0.35"/>
  <cols>
    <col min="1" max="1" width="3.54296875" customWidth="1"/>
    <col min="2" max="2" width="15.1796875" bestFit="1" customWidth="1"/>
    <col min="3" max="3" width="13.453125" bestFit="1" customWidth="1"/>
    <col min="4" max="4" width="42.1796875" customWidth="1"/>
    <col min="5" max="5" width="39" customWidth="1"/>
    <col min="6" max="6" width="56.54296875" bestFit="1" customWidth="1"/>
    <col min="7" max="7" width="57.81640625" customWidth="1"/>
    <col min="8" max="8" width="47.81640625" bestFit="1" customWidth="1"/>
    <col min="9" max="10" width="50.7265625" customWidth="1"/>
    <col min="11" max="11" width="22.54296875" customWidth="1"/>
    <col min="12" max="12" width="46.26953125" customWidth="1"/>
  </cols>
  <sheetData>
    <row r="2" spans="1:12" x14ac:dyDescent="0.35">
      <c r="A2" s="5"/>
    </row>
    <row r="3" spans="1:12" ht="21" x14ac:dyDescent="0.5">
      <c r="B3" s="12" t="s">
        <v>94</v>
      </c>
    </row>
    <row r="4" spans="1:12" x14ac:dyDescent="0.35">
      <c r="B4" s="27" t="s">
        <v>14</v>
      </c>
      <c r="C4" s="27" t="s">
        <v>39</v>
      </c>
      <c r="D4" s="27" t="s">
        <v>40</v>
      </c>
      <c r="E4" s="27" t="s">
        <v>41</v>
      </c>
      <c r="F4" s="27" t="s">
        <v>42</v>
      </c>
      <c r="G4" s="27" t="s">
        <v>44</v>
      </c>
      <c r="H4" s="27" t="s">
        <v>45</v>
      </c>
      <c r="I4" s="27" t="s">
        <v>46</v>
      </c>
      <c r="J4" s="27" t="s">
        <v>95</v>
      </c>
      <c r="K4" s="27" t="s">
        <v>47</v>
      </c>
      <c r="L4" s="27" t="s">
        <v>48</v>
      </c>
    </row>
    <row r="5" spans="1:12" ht="98.5" customHeight="1" x14ac:dyDescent="0.35">
      <c r="B5" s="6">
        <v>1</v>
      </c>
      <c r="C5" s="9" t="s">
        <v>96</v>
      </c>
      <c r="D5" s="4" t="s">
        <v>97</v>
      </c>
      <c r="E5" s="6" t="s">
        <v>98</v>
      </c>
      <c r="F5" s="4" t="s">
        <v>99</v>
      </c>
      <c r="G5" s="10" t="s">
        <v>100</v>
      </c>
      <c r="H5" s="10" t="s">
        <v>101</v>
      </c>
      <c r="I5" s="10" t="s">
        <v>102</v>
      </c>
      <c r="J5" s="11" t="s">
        <v>103</v>
      </c>
      <c r="K5" s="11" t="s">
        <v>104</v>
      </c>
      <c r="L5" s="11" t="s">
        <v>58</v>
      </c>
    </row>
    <row r="6" spans="1:12" ht="87" x14ac:dyDescent="0.35">
      <c r="B6" s="6">
        <v>2</v>
      </c>
      <c r="C6" s="3" t="s">
        <v>105</v>
      </c>
      <c r="D6" s="4" t="s">
        <v>106</v>
      </c>
      <c r="E6" s="2" t="s">
        <v>107</v>
      </c>
      <c r="F6" s="4" t="s">
        <v>108</v>
      </c>
      <c r="G6" s="4" t="s">
        <v>109</v>
      </c>
      <c r="H6" s="10" t="s">
        <v>110</v>
      </c>
      <c r="I6" s="10" t="s">
        <v>102</v>
      </c>
      <c r="J6" s="28" t="s">
        <v>111</v>
      </c>
      <c r="K6" s="8" t="s">
        <v>112</v>
      </c>
      <c r="L6" s="8" t="s">
        <v>113</v>
      </c>
    </row>
    <row r="7" spans="1:12" ht="101.5" x14ac:dyDescent="0.35">
      <c r="B7" s="6">
        <v>3</v>
      </c>
      <c r="C7" s="9" t="s">
        <v>114</v>
      </c>
      <c r="D7" s="10" t="s">
        <v>115</v>
      </c>
      <c r="E7" s="6" t="s">
        <v>116</v>
      </c>
      <c r="F7" s="2" t="s">
        <v>117</v>
      </c>
      <c r="G7" s="6" t="s">
        <v>118</v>
      </c>
      <c r="H7" s="10" t="s">
        <v>119</v>
      </c>
      <c r="I7" s="10" t="s">
        <v>102</v>
      </c>
      <c r="J7" s="28" t="s">
        <v>111</v>
      </c>
      <c r="K7" s="11" t="s">
        <v>120</v>
      </c>
      <c r="L7" s="11" t="s">
        <v>121</v>
      </c>
    </row>
    <row r="8" spans="1:12" ht="72.5" x14ac:dyDescent="0.35">
      <c r="B8" s="6">
        <v>4</v>
      </c>
      <c r="C8" s="3" t="s">
        <v>122</v>
      </c>
      <c r="D8" s="10" t="s">
        <v>123</v>
      </c>
      <c r="E8" s="6" t="s">
        <v>98</v>
      </c>
      <c r="F8" s="2" t="s">
        <v>124</v>
      </c>
      <c r="G8" s="10" t="s">
        <v>125</v>
      </c>
      <c r="H8" s="10" t="s">
        <v>126</v>
      </c>
      <c r="I8" s="10" t="s">
        <v>127</v>
      </c>
      <c r="J8" s="11" t="s">
        <v>128</v>
      </c>
      <c r="K8" s="11" t="s">
        <v>129</v>
      </c>
      <c r="L8" s="11" t="s">
        <v>130</v>
      </c>
    </row>
    <row r="9" spans="1:12" ht="119.15" customHeight="1" x14ac:dyDescent="0.35">
      <c r="B9" s="6">
        <v>5</v>
      </c>
      <c r="C9" s="9" t="s">
        <v>131</v>
      </c>
      <c r="D9" s="10" t="s">
        <v>132</v>
      </c>
      <c r="E9" s="6" t="s">
        <v>98</v>
      </c>
      <c r="F9" s="2" t="s">
        <v>133</v>
      </c>
      <c r="G9" s="10" t="s">
        <v>134</v>
      </c>
      <c r="H9" s="10" t="s">
        <v>135</v>
      </c>
      <c r="I9" s="10" t="s">
        <v>136</v>
      </c>
      <c r="J9" s="11" t="s">
        <v>137</v>
      </c>
      <c r="K9" s="11" t="s">
        <v>138</v>
      </c>
      <c r="L9" s="11" t="s">
        <v>139</v>
      </c>
    </row>
    <row r="10" spans="1:12" ht="130.5" x14ac:dyDescent="0.35">
      <c r="B10" s="6">
        <v>6</v>
      </c>
      <c r="C10" s="9" t="s">
        <v>140</v>
      </c>
      <c r="D10" s="10" t="s">
        <v>141</v>
      </c>
      <c r="E10" s="6" t="s">
        <v>116</v>
      </c>
      <c r="F10" s="4" t="s">
        <v>142</v>
      </c>
      <c r="G10" s="10"/>
      <c r="H10" s="10" t="s">
        <v>143</v>
      </c>
      <c r="I10" s="10" t="s">
        <v>259</v>
      </c>
      <c r="J10" s="11" t="s">
        <v>144</v>
      </c>
      <c r="K10" s="11" t="s">
        <v>145</v>
      </c>
      <c r="L10" s="11" t="s">
        <v>130</v>
      </c>
    </row>
    <row r="11" spans="1:12" ht="29" x14ac:dyDescent="0.35">
      <c r="B11" s="6">
        <v>7</v>
      </c>
      <c r="C11" s="9" t="s">
        <v>146</v>
      </c>
      <c r="D11" s="6" t="s">
        <v>147</v>
      </c>
      <c r="E11" s="6" t="s">
        <v>98</v>
      </c>
      <c r="F11" s="2" t="s">
        <v>148</v>
      </c>
      <c r="G11" s="10" t="s">
        <v>149</v>
      </c>
      <c r="H11" s="10" t="s">
        <v>150</v>
      </c>
      <c r="I11" s="10" t="s">
        <v>151</v>
      </c>
      <c r="J11" s="28" t="s">
        <v>152</v>
      </c>
      <c r="K11" s="23" t="s">
        <v>152</v>
      </c>
      <c r="L11" s="11"/>
    </row>
    <row r="12" spans="1:12" ht="87" x14ac:dyDescent="0.35">
      <c r="B12" s="6">
        <v>8</v>
      </c>
      <c r="C12" s="9" t="s">
        <v>153</v>
      </c>
      <c r="D12" s="6" t="s">
        <v>147</v>
      </c>
      <c r="E12" s="6" t="s">
        <v>154</v>
      </c>
      <c r="F12" s="2" t="s">
        <v>148</v>
      </c>
      <c r="G12" s="10" t="s">
        <v>155</v>
      </c>
      <c r="H12" s="10" t="s">
        <v>150</v>
      </c>
      <c r="I12" s="10" t="s">
        <v>151</v>
      </c>
      <c r="J12" s="28" t="s">
        <v>152</v>
      </c>
      <c r="K12" s="23" t="s">
        <v>152</v>
      </c>
      <c r="L12" s="11" t="s">
        <v>156</v>
      </c>
    </row>
    <row r="13" spans="1:12" ht="72.5" x14ac:dyDescent="0.35">
      <c r="B13" s="6">
        <v>8</v>
      </c>
      <c r="C13" s="9" t="s">
        <v>157</v>
      </c>
      <c r="D13" s="6" t="s">
        <v>147</v>
      </c>
      <c r="E13" s="10" t="s">
        <v>158</v>
      </c>
      <c r="F13" s="2" t="s">
        <v>148</v>
      </c>
      <c r="G13" s="10" t="s">
        <v>159</v>
      </c>
      <c r="H13" s="10" t="s">
        <v>160</v>
      </c>
      <c r="I13" s="10" t="s">
        <v>151</v>
      </c>
      <c r="J13" s="28" t="s">
        <v>152</v>
      </c>
      <c r="K13" s="23" t="s">
        <v>152</v>
      </c>
      <c r="L13" s="11" t="s">
        <v>161</v>
      </c>
    </row>
    <row r="14" spans="1:12" ht="104.15" customHeight="1" x14ac:dyDescent="0.35">
      <c r="B14" s="6">
        <v>9</v>
      </c>
      <c r="C14" s="9" t="s">
        <v>162</v>
      </c>
      <c r="D14" s="10" t="s">
        <v>163</v>
      </c>
      <c r="E14" s="10" t="s">
        <v>164</v>
      </c>
      <c r="F14" s="4" t="s">
        <v>165</v>
      </c>
      <c r="G14" s="10" t="s">
        <v>166</v>
      </c>
      <c r="H14" s="10" t="s">
        <v>167</v>
      </c>
      <c r="I14" s="10" t="s">
        <v>168</v>
      </c>
      <c r="J14" s="23" t="s">
        <v>169</v>
      </c>
      <c r="K14" s="23" t="s">
        <v>152</v>
      </c>
      <c r="L14" s="23" t="s">
        <v>170</v>
      </c>
    </row>
    <row r="18" spans="6:6" x14ac:dyDescent="0.35">
      <c r="F18" s="7"/>
    </row>
  </sheetData>
  <hyperlinks>
    <hyperlink ref="K9" r:id="rId1" xr:uid="{7321B542-E76B-463C-8642-3EAB1B3BD9F7}"/>
    <hyperlink ref="K8" r:id="rId2" xr:uid="{551EB8C7-9F77-4D20-A33C-A3E203FAAF59}"/>
    <hyperlink ref="K5" r:id="rId3" xr:uid="{A290AEAC-F329-4077-9E29-4C31D3E0CB44}"/>
    <hyperlink ref="K6" r:id="rId4" xr:uid="{8C195713-BDD6-4283-A9BD-FB7557302165}"/>
    <hyperlink ref="K7" r:id="rId5" xr:uid="{46323AA3-9EA6-4A44-87AD-FCB241D4358A}"/>
    <hyperlink ref="K10" r:id="rId6" xr:uid="{595D5593-DA8F-4896-8AA7-B476F7FB0940}"/>
    <hyperlink ref="J5" r:id="rId7" xr:uid="{DDE9FEE2-2576-4D85-9F5F-CC139FE266C5}"/>
    <hyperlink ref="J8" r:id="rId8" xr:uid="{5D532FCB-1E60-4CDE-95A3-3EC8231CA41C}"/>
    <hyperlink ref="J9" r:id="rId9" xr:uid="{89948545-B670-4663-A5A0-2D2B05E45626}"/>
    <hyperlink ref="J10" r:id="rId10" xr:uid="{8DDB5D79-04DB-4CC5-8BD2-A19C5D5B22E5}"/>
    <hyperlink ref="L14" r:id="rId11" xr:uid="{D8927E94-FDC3-4D98-9F35-4AF5D1129DD0}"/>
    <hyperlink ref="L5" r:id="rId12" xr:uid="{A2ED0918-3699-4D82-805A-37E8F4F6668D}"/>
    <hyperlink ref="L7" r:id="rId13" xr:uid="{6DC0B5B7-D572-4946-B8CB-DF660434F89D}"/>
    <hyperlink ref="L9" r:id="rId14" xr:uid="{FBB9CA23-8912-4860-90F3-3F142EE2BC40}"/>
    <hyperlink ref="L8" r:id="rId15" xr:uid="{E2432527-DDC4-4ECE-866A-AAFAC38B07DE}"/>
    <hyperlink ref="L10" r:id="rId16" xr:uid="{BDCFBB73-8FEC-498F-A5CA-B1A3BC291070}"/>
    <hyperlink ref="L6" r:id="rId17" xr:uid="{16261BCC-2F68-4F8A-9BC9-CFABF32F10F3}"/>
    <hyperlink ref="L12" r:id="rId18" display="https://pfizer.sharepoint.com/:x:/r/sites/PrimaryCareAnalytics2/Shared%20Documents/General/Tom%27s%20Covid%20Vx%20Deliverable/20251128_%20COVID%20HV%20Retailer,%20State%20Vx%20rates%20and%20Moderna%20uptake%20.xlsx?d=w96c0b197bc5c477b97d5816fd42ae7ac&amp;csf=1&amp;web=1&amp;e=pKKUZ9" xr:uid="{AAC7B76A-CAE2-4377-9E79-4B2F777BF134}"/>
    <hyperlink ref="L13" r:id="rId19" xr:uid="{B32B5D68-4FB4-4D19-8F4B-43555EA4BF50}"/>
    <hyperlink ref="J14" r:id="rId20" display="https://pfizer.sharepoint.com/:x:/r/sites/PrimaryCareAnalytics2/Shared%20Documents/General/ZS%20Internal%20Onboarding/Useful%20Materials/Copy%20of%20Vx%20Business%20Data%20Assets%20Data%20Dictionary.xlsx?d=w2c26ec00100e40e9917fa063a29e40fe&amp;csf=1&amp;web=1&amp;e=CpxKPl-" xr:uid="{9DA81A1C-8600-453B-AE84-2E7A967B29A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3BDB-08F0-4DB5-9B81-533A1FBB723C}">
  <sheetPr codeName="Sheet6"/>
  <dimension ref="B3:G24"/>
  <sheetViews>
    <sheetView showGridLines="0" zoomScale="82" zoomScaleNormal="110" workbookViewId="0">
      <selection activeCell="E6" sqref="E6"/>
    </sheetView>
  </sheetViews>
  <sheetFormatPr defaultRowHeight="14.5" x14ac:dyDescent="0.35"/>
  <cols>
    <col min="1" max="1" width="3.54296875" customWidth="1"/>
    <col min="2" max="2" width="5.54296875" bestFit="1" customWidth="1"/>
    <col min="3" max="3" width="13" customWidth="1"/>
    <col min="4" max="4" width="32.1796875" bestFit="1" customWidth="1"/>
    <col min="5" max="5" width="31.1796875" bestFit="1" customWidth="1"/>
    <col min="6" max="6" width="76.1796875" customWidth="1"/>
    <col min="7" max="7" width="67.81640625" bestFit="1" customWidth="1"/>
  </cols>
  <sheetData>
    <row r="3" spans="2:7" ht="21" x14ac:dyDescent="0.5">
      <c r="B3" s="12" t="s">
        <v>171</v>
      </c>
      <c r="C3" s="12"/>
    </row>
    <row r="4" spans="2:7" x14ac:dyDescent="0.35">
      <c r="B4" s="1" t="s">
        <v>172</v>
      </c>
      <c r="C4" s="30" t="s">
        <v>39</v>
      </c>
      <c r="D4" s="30" t="s">
        <v>40</v>
      </c>
      <c r="E4" s="1" t="s">
        <v>173</v>
      </c>
      <c r="F4" s="1" t="s">
        <v>42</v>
      </c>
      <c r="G4" s="1" t="s">
        <v>44</v>
      </c>
    </row>
    <row r="5" spans="2:7" x14ac:dyDescent="0.35">
      <c r="B5" s="25">
        <v>1</v>
      </c>
      <c r="C5" s="39" t="s">
        <v>174</v>
      </c>
      <c r="D5" s="25" t="s">
        <v>175</v>
      </c>
      <c r="E5" s="25" t="s">
        <v>176</v>
      </c>
      <c r="F5" s="25" t="s">
        <v>177</v>
      </c>
      <c r="G5" s="25"/>
    </row>
    <row r="6" spans="2:7" x14ac:dyDescent="0.35">
      <c r="B6" s="25">
        <v>2</v>
      </c>
      <c r="C6" s="41"/>
      <c r="D6" s="25" t="s">
        <v>178</v>
      </c>
      <c r="E6" s="25" t="s">
        <v>179</v>
      </c>
      <c r="F6" s="25" t="s">
        <v>180</v>
      </c>
      <c r="G6" s="25"/>
    </row>
    <row r="7" spans="2:7" x14ac:dyDescent="0.35">
      <c r="B7" s="25">
        <v>3</v>
      </c>
      <c r="C7" s="39" t="s">
        <v>181</v>
      </c>
      <c r="D7" s="25" t="s">
        <v>182</v>
      </c>
      <c r="E7" s="25" t="s">
        <v>183</v>
      </c>
      <c r="F7" s="25" t="s">
        <v>184</v>
      </c>
      <c r="G7" s="25" t="s">
        <v>185</v>
      </c>
    </row>
    <row r="8" spans="2:7" x14ac:dyDescent="0.35">
      <c r="B8" s="25">
        <v>4</v>
      </c>
      <c r="C8" s="40"/>
      <c r="D8" s="25" t="s">
        <v>186</v>
      </c>
      <c r="E8" s="25" t="s">
        <v>187</v>
      </c>
      <c r="F8" s="25" t="s">
        <v>188</v>
      </c>
      <c r="G8" s="25" t="s">
        <v>189</v>
      </c>
    </row>
    <row r="9" spans="2:7" x14ac:dyDescent="0.35">
      <c r="B9" s="25">
        <v>5</v>
      </c>
      <c r="C9" s="40"/>
      <c r="D9" s="25" t="s">
        <v>190</v>
      </c>
      <c r="E9" s="25" t="s">
        <v>191</v>
      </c>
      <c r="F9" s="25" t="s">
        <v>192</v>
      </c>
      <c r="G9" s="25"/>
    </row>
    <row r="10" spans="2:7" x14ac:dyDescent="0.35">
      <c r="B10" s="25">
        <v>6</v>
      </c>
      <c r="C10" s="40"/>
      <c r="D10" s="25" t="s">
        <v>193</v>
      </c>
      <c r="E10" s="25" t="s">
        <v>194</v>
      </c>
      <c r="F10" s="25" t="s">
        <v>195</v>
      </c>
      <c r="G10" s="25" t="s">
        <v>196</v>
      </c>
    </row>
    <row r="11" spans="2:7" x14ac:dyDescent="0.35">
      <c r="B11" s="25">
        <v>7</v>
      </c>
      <c r="C11" s="40"/>
      <c r="D11" s="25" t="s">
        <v>197</v>
      </c>
      <c r="E11" s="25" t="s">
        <v>198</v>
      </c>
      <c r="F11" s="26" t="s">
        <v>199</v>
      </c>
      <c r="G11" s="25" t="s">
        <v>200</v>
      </c>
    </row>
    <row r="12" spans="2:7" x14ac:dyDescent="0.35">
      <c r="B12" s="25">
        <v>8</v>
      </c>
      <c r="C12" s="41"/>
      <c r="D12" s="25" t="s">
        <v>201</v>
      </c>
      <c r="E12" s="25" t="s">
        <v>183</v>
      </c>
      <c r="F12" s="26" t="s">
        <v>202</v>
      </c>
      <c r="G12" s="25" t="s">
        <v>203</v>
      </c>
    </row>
    <row r="13" spans="2:7" x14ac:dyDescent="0.35">
      <c r="B13" s="25">
        <v>9</v>
      </c>
      <c r="C13" s="29" t="s">
        <v>49</v>
      </c>
      <c r="D13" s="25" t="s">
        <v>204</v>
      </c>
      <c r="E13" s="25" t="s">
        <v>205</v>
      </c>
      <c r="F13" s="26" t="s">
        <v>206</v>
      </c>
      <c r="G13" s="25"/>
    </row>
    <row r="14" spans="2:7" ht="17.5" customHeight="1" x14ac:dyDescent="0.35">
      <c r="B14" s="25">
        <v>10</v>
      </c>
      <c r="C14" s="39" t="s">
        <v>96</v>
      </c>
      <c r="D14" s="25" t="s">
        <v>207</v>
      </c>
      <c r="E14" s="25" t="s">
        <v>208</v>
      </c>
      <c r="F14" s="26" t="s">
        <v>209</v>
      </c>
      <c r="G14" s="25"/>
    </row>
    <row r="15" spans="2:7" x14ac:dyDescent="0.35">
      <c r="B15" s="25">
        <v>11</v>
      </c>
      <c r="C15" s="40"/>
      <c r="D15" s="25" t="s">
        <v>210</v>
      </c>
      <c r="E15" s="25" t="s">
        <v>176</v>
      </c>
      <c r="F15" s="25" t="s">
        <v>211</v>
      </c>
      <c r="G15" s="25"/>
    </row>
    <row r="16" spans="2:7" x14ac:dyDescent="0.35">
      <c r="B16" s="25">
        <v>12</v>
      </c>
      <c r="C16" s="40"/>
      <c r="D16" s="25" t="s">
        <v>212</v>
      </c>
      <c r="E16" s="25" t="s">
        <v>213</v>
      </c>
      <c r="F16" s="25" t="s">
        <v>214</v>
      </c>
      <c r="G16" s="25"/>
    </row>
    <row r="17" spans="2:7" x14ac:dyDescent="0.35">
      <c r="B17" s="25">
        <v>13</v>
      </c>
      <c r="C17" s="40"/>
      <c r="D17" s="25" t="s">
        <v>215</v>
      </c>
      <c r="E17" s="25" t="s">
        <v>216</v>
      </c>
      <c r="F17" s="25" t="s">
        <v>217</v>
      </c>
      <c r="G17" s="25"/>
    </row>
    <row r="18" spans="2:7" x14ac:dyDescent="0.35">
      <c r="B18" s="25">
        <v>14</v>
      </c>
      <c r="C18" s="41"/>
      <c r="D18" s="25" t="s">
        <v>218</v>
      </c>
      <c r="E18" s="25" t="s">
        <v>219</v>
      </c>
      <c r="F18" s="25" t="s">
        <v>220</v>
      </c>
      <c r="G18" s="25"/>
    </row>
    <row r="19" spans="2:7" x14ac:dyDescent="0.35">
      <c r="B19" s="25">
        <v>15</v>
      </c>
      <c r="C19" s="29" t="s">
        <v>221</v>
      </c>
      <c r="D19" s="25" t="s">
        <v>222</v>
      </c>
      <c r="E19" s="25" t="s">
        <v>223</v>
      </c>
      <c r="F19" s="25" t="s">
        <v>224</v>
      </c>
      <c r="G19" s="25"/>
    </row>
    <row r="20" spans="2:7" x14ac:dyDescent="0.35">
      <c r="B20" s="25">
        <v>16</v>
      </c>
      <c r="C20" s="29" t="s">
        <v>122</v>
      </c>
      <c r="D20" s="25" t="s">
        <v>225</v>
      </c>
      <c r="E20" s="25" t="s">
        <v>208</v>
      </c>
      <c r="F20" s="25" t="s">
        <v>226</v>
      </c>
      <c r="G20" s="25"/>
    </row>
    <row r="21" spans="2:7" x14ac:dyDescent="0.35">
      <c r="B21" s="25">
        <v>17</v>
      </c>
      <c r="C21" s="39" t="s">
        <v>227</v>
      </c>
      <c r="D21" s="25" t="s">
        <v>228</v>
      </c>
      <c r="E21" s="25" t="s">
        <v>229</v>
      </c>
      <c r="F21" s="25" t="s">
        <v>230</v>
      </c>
      <c r="G21" s="25"/>
    </row>
    <row r="22" spans="2:7" x14ac:dyDescent="0.35">
      <c r="B22" s="25">
        <v>18</v>
      </c>
      <c r="C22" s="40"/>
      <c r="D22" s="25" t="s">
        <v>231</v>
      </c>
      <c r="E22" s="25" t="s">
        <v>232</v>
      </c>
      <c r="F22" s="25" t="s">
        <v>233</v>
      </c>
      <c r="G22" s="25"/>
    </row>
    <row r="23" spans="2:7" x14ac:dyDescent="0.35">
      <c r="B23" s="25">
        <v>19</v>
      </c>
      <c r="C23" s="41"/>
      <c r="D23" s="25" t="s">
        <v>234</v>
      </c>
      <c r="E23" s="25" t="s">
        <v>235</v>
      </c>
      <c r="F23" s="25" t="s">
        <v>236</v>
      </c>
      <c r="G23" s="25"/>
    </row>
    <row r="24" spans="2:7" x14ac:dyDescent="0.35">
      <c r="B24" s="25">
        <v>20</v>
      </c>
      <c r="C24" s="29" t="s">
        <v>131</v>
      </c>
      <c r="D24" s="25" t="s">
        <v>237</v>
      </c>
      <c r="E24" s="25" t="s">
        <v>208</v>
      </c>
      <c r="F24" s="25" t="s">
        <v>238</v>
      </c>
      <c r="G24" s="25"/>
    </row>
  </sheetData>
  <mergeCells count="4">
    <mergeCell ref="C14:C18"/>
    <mergeCell ref="C5:C6"/>
    <mergeCell ref="C7:C12"/>
    <mergeCell ref="C21:C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8FF05-E167-4989-9309-471CA84E544E}">
  <sheetPr codeName="Sheet7"/>
  <dimension ref="B3:G8"/>
  <sheetViews>
    <sheetView showGridLines="0" zoomScale="69" zoomScaleNormal="25" workbookViewId="0">
      <selection activeCell="E6" sqref="E6"/>
    </sheetView>
  </sheetViews>
  <sheetFormatPr defaultRowHeight="14.5" x14ac:dyDescent="0.35"/>
  <cols>
    <col min="2" max="2" width="5.54296875" bestFit="1" customWidth="1"/>
    <col min="3" max="3" width="13" customWidth="1"/>
    <col min="4" max="4" width="32.1796875" bestFit="1" customWidth="1"/>
    <col min="5" max="5" width="40.81640625" bestFit="1" customWidth="1"/>
    <col min="6" max="6" width="103.26953125" bestFit="1" customWidth="1"/>
    <col min="7" max="7" width="90.453125" bestFit="1" customWidth="1"/>
  </cols>
  <sheetData>
    <row r="3" spans="2:7" ht="21" x14ac:dyDescent="0.5">
      <c r="B3" s="12" t="s">
        <v>239</v>
      </c>
      <c r="C3" s="12"/>
    </row>
    <row r="4" spans="2:7" x14ac:dyDescent="0.35">
      <c r="B4" s="21" t="s">
        <v>172</v>
      </c>
      <c r="C4" s="21" t="s">
        <v>39</v>
      </c>
      <c r="D4" s="21" t="s">
        <v>40</v>
      </c>
      <c r="E4" s="21" t="s">
        <v>173</v>
      </c>
      <c r="F4" s="21" t="s">
        <v>42</v>
      </c>
      <c r="G4" s="21" t="s">
        <v>44</v>
      </c>
    </row>
    <row r="5" spans="2:7" x14ac:dyDescent="0.35">
      <c r="B5" s="19">
        <v>1</v>
      </c>
      <c r="C5" s="38" t="s">
        <v>240</v>
      </c>
      <c r="D5" s="19" t="s">
        <v>241</v>
      </c>
      <c r="E5" s="19" t="s">
        <v>242</v>
      </c>
      <c r="F5" s="19" t="s">
        <v>243</v>
      </c>
      <c r="G5" s="19"/>
    </row>
    <row r="6" spans="2:7" x14ac:dyDescent="0.35">
      <c r="B6" s="19">
        <f>B5+1</f>
        <v>2</v>
      </c>
      <c r="C6" s="38" t="s">
        <v>244</v>
      </c>
      <c r="D6" s="19" t="s">
        <v>245</v>
      </c>
      <c r="E6" s="19" t="s">
        <v>246</v>
      </c>
      <c r="F6" s="19" t="s">
        <v>247</v>
      </c>
      <c r="G6" s="25" t="s">
        <v>248</v>
      </c>
    </row>
    <row r="7" spans="2:7" ht="29" x14ac:dyDescent="0.35">
      <c r="B7" s="35">
        <f>B6+1</f>
        <v>3</v>
      </c>
      <c r="C7" s="38" t="s">
        <v>249</v>
      </c>
      <c r="D7" s="35" t="s">
        <v>250</v>
      </c>
      <c r="E7" s="35" t="s">
        <v>246</v>
      </c>
      <c r="F7" s="19"/>
      <c r="G7" s="26" t="s">
        <v>251</v>
      </c>
    </row>
    <row r="8" spans="2:7" x14ac:dyDescent="0.35">
      <c r="B8" s="35">
        <f>B7+1</f>
        <v>4</v>
      </c>
      <c r="C8" s="38" t="s">
        <v>252</v>
      </c>
      <c r="D8" s="35" t="s">
        <v>253</v>
      </c>
      <c r="E8" s="35" t="s">
        <v>254</v>
      </c>
      <c r="F8" s="19"/>
      <c r="G8" s="26" t="s">
        <v>255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5F55-4B96-43A5-BF70-A2497E830DDE}">
  <sheetPr codeName="Sheet8"/>
  <dimension ref="B3:E8"/>
  <sheetViews>
    <sheetView showGridLines="0" workbookViewId="0"/>
  </sheetViews>
  <sheetFormatPr defaultRowHeight="14.5" x14ac:dyDescent="0.35"/>
  <cols>
    <col min="3" max="3" width="16.54296875" customWidth="1"/>
    <col min="4" max="4" width="29.1796875" customWidth="1"/>
    <col min="5" max="5" width="37.1796875" customWidth="1"/>
  </cols>
  <sheetData>
    <row r="3" spans="2:5" x14ac:dyDescent="0.35">
      <c r="B3" s="1" t="s">
        <v>256</v>
      </c>
      <c r="C3" s="1" t="s">
        <v>257</v>
      </c>
      <c r="D3" s="1" t="s">
        <v>39</v>
      </c>
      <c r="E3" s="1" t="s">
        <v>258</v>
      </c>
    </row>
    <row r="4" spans="2:5" x14ac:dyDescent="0.35">
      <c r="B4" s="31">
        <v>1</v>
      </c>
      <c r="C4" s="31"/>
      <c r="D4" s="31"/>
      <c r="E4" s="31"/>
    </row>
    <row r="5" spans="2:5" x14ac:dyDescent="0.35">
      <c r="B5" s="31">
        <v>2</v>
      </c>
      <c r="C5" s="31"/>
      <c r="D5" s="31"/>
      <c r="E5" s="31"/>
    </row>
    <row r="6" spans="2:5" x14ac:dyDescent="0.35">
      <c r="B6" s="31">
        <v>3</v>
      </c>
      <c r="C6" s="31"/>
      <c r="D6" s="31"/>
      <c r="E6" s="31"/>
    </row>
    <row r="7" spans="2:5" x14ac:dyDescent="0.35">
      <c r="B7" s="31">
        <v>4</v>
      </c>
      <c r="C7" s="31"/>
      <c r="D7" s="31"/>
      <c r="E7" s="31"/>
    </row>
    <row r="8" spans="2:5" x14ac:dyDescent="0.35">
      <c r="B8" s="31">
        <v>6</v>
      </c>
      <c r="C8" s="31"/>
      <c r="D8" s="31"/>
      <c r="E8" s="3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A50AB8410806942A83859BC4E767C00" ma:contentTypeVersion="11" ma:contentTypeDescription="Create a new document." ma:contentTypeScope="" ma:versionID="3110d7a9be6397aba537ec989c9b95f2">
  <xsd:schema xmlns:xsd="http://www.w3.org/2001/XMLSchema" xmlns:xs="http://www.w3.org/2001/XMLSchema" xmlns:p="http://schemas.microsoft.com/office/2006/metadata/properties" xmlns:ns2="385fa5af-5bd9-41a0-9912-f2cbe8783a08" xmlns:ns3="423b0113-b361-442d-aff0-c8783a6ceeb1" targetNamespace="http://schemas.microsoft.com/office/2006/metadata/properties" ma:root="true" ma:fieldsID="0dae83d93748cb6aad908f76dcd9fc00" ns2:_="" ns3:_="">
    <xsd:import namespace="385fa5af-5bd9-41a0-9912-f2cbe8783a08"/>
    <xsd:import namespace="423b0113-b361-442d-aff0-c8783a6ceeb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BillingMetadata"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5fa5af-5bd9-41a0-9912-f2cbe8783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b0113-b361-442d-aff0-c8783a6ceeb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93978B-B2BA-4405-9A39-3C69C8005655}">
  <ds:schemaRefs>
    <ds:schemaRef ds:uri="http://www.w3.org/XML/1998/namespace"/>
    <ds:schemaRef ds:uri="http://purl.org/dc/dcmitype/"/>
    <ds:schemaRef ds:uri="http://schemas.microsoft.com/office/2006/documentManagement/types"/>
    <ds:schemaRef ds:uri="385fa5af-5bd9-41a0-9912-f2cbe8783a08"/>
    <ds:schemaRef ds:uri="http://schemas.microsoft.com/office/infopath/2007/PartnerControls"/>
    <ds:schemaRef ds:uri="http://schemas.openxmlformats.org/package/2006/metadata/core-properties"/>
    <ds:schemaRef ds:uri="423b0113-b361-442d-aff0-c8783a6ceeb1"/>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B53D5BD1-256C-4F0F-8FB9-ABDF3E3CF4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5fa5af-5bd9-41a0-9912-f2cbe8783a08"/>
    <ds:schemaRef ds:uri="423b0113-b361-442d-aff0-c8783a6cee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B1C3A1-C81B-4204-ABA3-55DBD09163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Links for Data Understanding</vt:lpstr>
      <vt:lpstr>Pharma Supply Chain</vt:lpstr>
      <vt:lpstr>Brands</vt:lpstr>
      <vt:lpstr>Shipments</vt:lpstr>
      <vt:lpstr>Admins</vt:lpstr>
      <vt:lpstr>Dimension Tables</vt:lpstr>
      <vt:lpstr>Alignment</vt:lpstr>
      <vt:lpstr>Modifications Required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Singh, Viplov</dc:creator>
  <cp:keywords/>
  <dc:description/>
  <cp:lastModifiedBy>Sanotra, Pranav (Contractor)</cp:lastModifiedBy>
  <cp:revision/>
  <dcterms:created xsi:type="dcterms:W3CDTF">2025-11-17T05:57:17Z</dcterms:created>
  <dcterms:modified xsi:type="dcterms:W3CDTF">2026-08-05T08:51:50Z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2025-11-17T06:27:42Z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85973159-4e03-4928-8fa5-b043c97e9ad9</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0x0101006A50AB8410806942A83859BC4E767C00</vt:lpwstr>
  </property>
</Properties>
</file>